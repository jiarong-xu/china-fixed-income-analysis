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35ec82fc6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00e8894c2bd42d9"/>
    <x:sheet xmlns:r="http://schemas.openxmlformats.org/officeDocument/2006/relationships" name="Tbond_010504" sheetId="2" r:id="R5085a6adea5545a1"/>
    <x:sheet xmlns:r="http://schemas.openxmlformats.org/officeDocument/2006/relationships" name="CDB_018020" sheetId="3" r:id="R3a400922631f4911"/>
    <x:sheet xmlns:r="http://schemas.openxmlformats.org/officeDocument/2006/relationships" name="Nanjing_184575" sheetId="4" r:id="R1aa4400dd1f54602"/>
    <x:sheet xmlns:r="http://schemas.openxmlformats.org/officeDocument/2006/relationships" name="Credit_Case" sheetId="5" r:id="R44f6bc399a0945c6"/>
    <x:sheet xmlns:r="http://schemas.openxmlformats.org/officeDocument/2006/relationships" name="Price_Yield" sheetId="6" r:id="Rfe931adea1634f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00%"/>
    <x:numFmt numFmtId="201" formatCode="0"/>
    <x:numFmt numFmtId="202" formatCode="#,##0.000;(#,##0.000);&quot;-&quot;"/>
    <x:numFmt numFmtId="203" formatCode="dd-mmm-yyyy"/>
    <x:numFmt numFmtId="204" formatCode="0.000000%"/>
    <x:numFmt numFmtId="205" formatCode="0.000000"/>
    <x:numFmt numFmtId="206" formatCode="0.00%"/>
    <x:numFmt numFmtId="207" formatCode="0.000"/>
  </x:numFmts>
  <x:fonts count="15">
    <x:font>
      <x:sz val="11"/>
      <x:name val="Carlito"/>
    </x:font>
    <x:font>
      <x:sz val="11"/>
      <x:name val="Arial"/>
    </x:font>
    <x:font>
      <x:sz val="16"/>
      <x:name val="Arial"/>
    </x:font>
    <x:font>
      <x:b/>
      <x:sz val="16"/>
      <x:name val="Arial"/>
    </x:font>
    <x:font>
      <x:sz val="11"/>
      <x:color rgb="FF596579"/>
      <x:name val="Arial"/>
    </x:font>
    <x:font>
      <x:sz val="10"/>
      <x:color rgb="FF596579"/>
      <x:name val="Arial"/>
    </x:font>
    <x:font>
      <x:sz val="11"/>
      <x:color rgb="FF0000CC"/>
      <x:name val="Arial"/>
    </x:font>
    <x:font>
      <x:sz val="11"/>
      <x:color rgb="FF111111"/>
      <x:name val="Arial"/>
    </x:font>
    <x:font>
      <x:b/>
      <x:sz val="11"/>
      <x:name val="Arial"/>
    </x:font>
    <x:font>
      <x:b/>
      <x:sz val="11"/>
      <x:color rgb="FF1111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sz val="10"/>
      <x:name val="Arial"/>
    </x:font>
    <x:font>
      <x:sz val="11"/>
      <x:color rgb="FF008000"/>
      <x:name val="Arial"/>
    </x:font>
    <x:font>
      <x:sz val="9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8EEF6"/>
      </x:patternFill>
    </x:fill>
    <x:fill>
      <x:patternFill patternType="solid">
        <x:fgColor rgb="FF203864"/>
      </x:patternFill>
    </x:fill>
    <x:fill>
      <x:patternFill patternType="solid">
        <x:fgColor rgb="FF2038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1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9" fillId="2" borderId="0" xfId="0" applyNumberFormat="1" applyFont="1" applyFill="1" applyBorder="1"/>
    <x:xf numFmtId="200" fontId="9" fillId="2" borderId="0" xfId="0" applyNumberFormat="1" applyFont="1" applyFill="1" applyBorder="1"/>
    <x:xf numFmtId="200" fontId="1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3" fontId="7" fillId="0" borderId="0" xfId="0" applyNumberFormat="1" applyFont="1" applyFill="1" applyBorder="1"/>
    <x:xf numFmtId="201" fontId="7" fillId="0" borderId="0" xfId="0" applyNumberFormat="1" applyFont="1" applyFill="1" applyBorder="1"/>
    <x:xf numFmtId="202" fontId="1" fillId="0" borderId="0" xfId="0" applyNumberFormat="1" applyFont="1" applyFill="1" applyBorder="1"/>
    <x:xf numFmtId="202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1" fillId="3" borderId="0" xfId="0" applyNumberFormat="1" applyFont="1" applyFill="1" applyBorder="1"/>
    <x:xf numFmtId="0" fontId="10" fillId="3" borderId="0" xfId="0" applyNumberFormat="1" applyFont="1" applyFill="1" applyBorder="1"/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 applyAlignment="1">
      <x:alignment wrapText="1"/>
    </x:xf>
    <x:xf numFmtId="204" fontId="7" fillId="0" borderId="0" xfId="0" applyNumberFormat="1" applyFont="1" applyFill="1" applyBorder="1"/>
    <x:xf numFmtId="205" fontId="7" fillId="0" borderId="0" xfId="0" applyNumberFormat="1" applyFont="1" applyFill="1" applyBorder="1"/>
    <x:xf numFmtId="203" fontId="1" fillId="0" borderId="0" xfId="0" applyNumberFormat="1" applyFont="1" applyFill="1" applyBorder="1"/>
    <x:xf numFmtId="0" fontId="13" fillId="0" borderId="0" xfId="0" applyNumberFormat="1" applyFont="1" applyFill="1" applyBorder="1"/>
    <x:xf numFmtId="202" fontId="13" fillId="0" borderId="0" xfId="0" applyNumberFormat="1" applyFont="1" applyFill="1" applyBorder="1"/>
    <x:xf numFmtId="206" fontId="13" fillId="0" borderId="0" xfId="0" applyNumberFormat="1" applyFont="1" applyFill="1" applyBorder="1"/>
    <x:xf numFmtId="200" fontId="13" fillId="0" borderId="0" xfId="0" applyNumberFormat="1" applyFont="1" applyFill="1" applyBorder="1"/>
    <x:xf numFmtId="206" fontId="7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10" fillId="4" borderId="0" xfId="0" applyNumberFormat="1" applyFont="1" applyFill="1" applyBorder="1"/>
    <x:xf numFmtId="0" fontId="11" fillId="4" borderId="0" xfId="0" applyNumberFormat="1" applyFont="1" applyFill="1" applyBorder="1"/>
    <x:xf numFmtId="207" fontId="13" fillId="0" borderId="0" xfId="0" applyNumberFormat="1" applyFont="1" applyFill="1" applyBorder="1"/>
    <x:xf numFmtId="207" fontId="7" fillId="0" borderId="0" xfId="0" applyNumberFormat="1" applyFont="1" applyFill="1" applyBorder="1"/>
    <x:xf numFmtId="206" fontId="6" fillId="0" borderId="0" xfId="0" applyNumberFormat="1" applyFont="1" applyFill="1" applyBorder="1"/>
    <x:xf numFmtId="0" fontId="8" fillId="0" borderId="0" xfId="0" applyNumberFormat="1" applyFont="1" applyFill="1" applyBorder="1"/>
    <x:xf numFmtId="203" fontId="1" fillId="0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7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6" fontId="6" fillId="0" borderId="0" xfId="0" applyNumberFormat="1" applyFont="1" applyFill="1" applyBorder="1" applyAlignment="1">
      <x:alignment vertical="center"/>
    </x:xf>
    <x:xf numFmtId="207" fontId="13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 wrapText="1"/>
    </x:xf>
    <x:xf numFmtId="203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9bcd3b46b4950" /><Relationship Type="http://schemas.openxmlformats.org/officeDocument/2006/relationships/theme" Target="/xl/theme/theme1.xml" Id="Rb46effbbb13940a0" /><Relationship Type="http://schemas.openxmlformats.org/officeDocument/2006/relationships/sharedStrings" Target="/xl/sharedStrings.xml" Id="R210bc90f23c544c6" /><Relationship Type="http://schemas.openxmlformats.org/officeDocument/2006/relationships/worksheet" Target="/xl/worksheets/sheet1.xml" Id="R400e8894c2bd42d9" /><Relationship Type="http://schemas.openxmlformats.org/officeDocument/2006/relationships/worksheet" Target="/xl/worksheets/sheet2.xml" Id="R5085a6adea5545a1" /><Relationship Type="http://schemas.openxmlformats.org/officeDocument/2006/relationships/worksheet" Target="/xl/worksheets/sheet3.xml" Id="R3a400922631f4911" /><Relationship Type="http://schemas.openxmlformats.org/officeDocument/2006/relationships/worksheet" Target="/xl/worksheets/sheet4.xml" Id="R1aa4400dd1f54602" /><Relationship Type="http://schemas.openxmlformats.org/officeDocument/2006/relationships/worksheet" Target="/xl/worksheets/sheet5.xml" Id="R44f6bc399a0945c6" /><Relationship Type="http://schemas.openxmlformats.org/officeDocument/2006/relationships/worksheet" Target="/xl/worksheets/sheet6.xml" Id="Rfe931adea1634f6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fd91cac2f94e0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125">
                <a:latin typeface="Arial"/>
                <a:ea typeface="Arial"/>
                <a:cs typeface="Arial"/>
              </a:rPr>
              <a:t>Clean price versus nominal yield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125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010504 Treasury</c:v>
          </c:tx>
          <c:spPr>
            <a:ln xmlns:a="http://schemas.openxmlformats.org/drawingml/2006/main" w="19050">
              <a:solidFill>
                <a:srgbClr val="203864"/>
              </a:solidFill>
              <a:prstDash val="solid"/>
            </a:ln>
          </c:spPr>
          <c:marker>
            <c:symbol val="none"/>
          </c:marker>
          <c:cat>
            <c:strRef>
              <c:f>'Price_Yield'!$S$16:$S$48</c:f>
              <c:strCache>
                <c:ptCount val="0"/>
              </c:strCache>
            </c:strRef>
          </c:cat>
          <c:val>
            <c:numRef>
              <c:f>'Price_Yield'!$C$16:$C$48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018020 CDB</c:v>
          </c:tx>
          <c:spPr>
            <a:ln xmlns:a="http://schemas.openxmlformats.org/drawingml/2006/main" w="19050">
              <a:solidFill>
                <a:srgbClr val="D97706"/>
              </a:solidFill>
              <a:prstDash val="solid"/>
            </a:ln>
          </c:spPr>
          <c:marker>
            <c:symbol val="none"/>
          </c:marker>
          <c:cat>
            <c:strRef>
              <c:f>'Price_Yield'!$S$16:$S$48</c:f>
              <c:strCache>
                <c:ptCount val="0"/>
              </c:strCache>
            </c:strRef>
          </c:cat>
          <c:val>
            <c:numRef>
              <c:f>'Price_Yield'!$D$16:$D$48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184575 Nanjing</c:v>
          </c:tx>
          <c:spPr>
            <a:ln xmlns:a="http://schemas.openxmlformats.org/drawingml/2006/main" w="1905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strRef>
              <c:f>'Price_Yield'!$S$16:$S$48</c:f>
              <c:strCache>
                <c:ptCount val="0"/>
              </c:strCache>
            </c:strRef>
          </c:cat>
          <c:val>
            <c:numRef>
              <c:f>'Price_Yield'!$E$16:$E$48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Nominal annual yield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tickLblSkip val="4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Clean price (RMB / 100 face)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17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fd91cac2f94e0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daaec59a651840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2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21" hidden="0" customWidth="1"/>
    <x:col min="10" max="10" width="21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1"/>
      <x:c r="B2" s="3" t="str">
        <x:v>China Fixed Income Analysis</x:v>
      </x:c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5" t="str">
        <x:v>Historical reconstruction using 13 March 2023 coursework observations.</x:v>
      </x:c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38" customHeight="1">
      <x:c r="A6" s="1"/>
      <x:c r="B6" s="26" t="str">
        <x:v>Bond</x:v>
      </x:c>
      <x:c r="C6" s="26" t="str">
        <x:v>Price / 100</x:v>
      </x:c>
      <x:c r="D6" s="26" t="str">
        <x:v>Coupon p.a.</x:v>
      </x:c>
      <x:c r="E6" s="26" t="str">
        <x:v>Price basis</x:v>
      </x:c>
      <x:c r="F6" s="26" t="str">
        <x:v>Nominal YTM</x:v>
      </x:c>
      <x:c r="G6" s="26" t="str">
        <x:v>Effective yield</x:v>
      </x:c>
      <x:c r="H6" s="26" t="str">
        <x:v>Quoted yield</x:v>
      </x:c>
      <x:c r="I6" s="1"/>
      <x:c r="J6" s="1"/>
    </x:row>
    <x:row r="7" ht="23" customHeight="1">
      <x:c r="A7" s="1"/>
      <x:c r="B7" s="1" t="str">
        <x:v>010504 05 Treasury (4)</x:v>
      </x:c>
      <x:c r="C7" s="21" t="n">
        <x:f>'Tbond_010504'!C10</x:f>
        <x:v>104.648</x:v>
      </x:c>
      <x:c r="D7" s="36" t="n">
        <x:f>'Tbond_010504'!C8</x:f>
        <x:v>0.0411</x:v>
      </x:c>
      <x:c r="E7" s="7" t="str">
        <x:f>'Tbond_010504'!C11</x:f>
        <x:v>Clean</x:v>
      </x:c>
      <x:c r="F7" s="22" t="n">
        <x:f>'Tbond_010504'!C5</x:f>
        <x:v>0.01915930739610302</x:v>
      </x:c>
      <x:c r="G7" s="22" t="n">
        <x:f>'Tbond_010504'!C6</x:f>
        <x:v>0.019251077161077434</x:v>
      </x:c>
      <x:c r="H7" s="22" t="n">
        <x:f>'Tbond_010504'!C22</x:f>
        <x:v>0.0192</x:v>
      </x:c>
      <x:c r="I7" s="1"/>
      <x:c r="J7" s="1"/>
    </x:row>
    <x:row r="8" ht="23" customHeight="1">
      <x:c r="A8" s="1"/>
      <x:c r="B8" s="1" t="str">
        <x:v>018020 CDB 2302</x:v>
      </x:c>
      <x:c r="C8" s="21" t="n">
        <x:f>'CDB_018020'!C10</x:f>
        <x:v>99.957</x:v>
      </x:c>
      <x:c r="D8" s="36" t="n">
        <x:f>'CDB_018020'!C8</x:f>
        <x:v>0.0258</x:v>
      </x:c>
      <x:c r="E8" s="7" t="str">
        <x:f>'CDB_018020'!C11</x:f>
        <x:v>Clean</x:v>
      </x:c>
      <x:c r="F8" s="22" t="n">
        <x:f>'CDB_018020'!C5</x:f>
        <x:v>0.025948738597116956</x:v>
      </x:c>
      <x:c r="G8" s="22" t="n">
        <x:f>'CDB_018020'!C6</x:f>
        <x:v>0.025948738597116883</x:v>
      </x:c>
      <x:c r="H8" s="22" t="n">
        <x:f>'CDB_018020'!C22</x:f>
        <x:v>0.0259</x:v>
      </x:c>
      <x:c r="I8" s="1"/>
      <x:c r="J8" s="1"/>
    </x:row>
    <x:row r="9" ht="23" customHeight="1">
      <x:c r="A9" s="1"/>
      <x:c r="B9" s="1" t="str">
        <x:v>184575 22 Nanjing Anju</x:v>
      </x:c>
      <x:c r="C9" s="21" t="n">
        <x:f>'Nanjing_184575'!C10</x:f>
        <x:v>100</x:v>
      </x:c>
      <x:c r="D9" s="36" t="n">
        <x:f>'Nanjing_184575'!C8</x:f>
        <x:v>0.0272</x:v>
      </x:c>
      <x:c r="E9" s="7" t="str">
        <x:f>'Nanjing_184575'!C11</x:f>
        <x:v>Clean</x:v>
      </x:c>
      <x:c r="F9" s="22" t="n">
        <x:f>'Nanjing_184575'!C5</x:f>
        <x:v>0.02717823837697323</x:v>
      </x:c>
      <x:c r="G9" s="22" t="n">
        <x:f>'Nanjing_184575'!C6</x:f>
        <x:v>0.027178238376973196</x:v>
      </x:c>
      <x:c r="H9" s="22" t="n">
        <x:f>'Nanjing_184575'!C22</x:f>
        <x:v>0.0272</x:v>
      </x:c>
      <x:c r="I9" s="1"/>
      <x:c r="J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3" customHeight="1">
      <x:c r="A12" s="1"/>
      <x:c r="B12" s="1" t="str">
        <x:v>184575 yield to put</x:v>
      </x:c>
      <x:c r="C12" s="22" t="n">
        <x:f>'Nanjing_184575'!C39</x:f>
        <x:v>0.02716191943377452</x:v>
      </x:c>
      <x:c r="D12" s="1"/>
      <x:c r="E12" s="1"/>
      <x:c r="F12" s="1"/>
      <x:c r="G12" s="1"/>
      <x:c r="H12" s="1"/>
      <x:c r="I12" s="1"/>
      <x:c r="J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3" customHeight="1">
      <x:c r="A14" s="1"/>
      <x:c r="B14" s="1"/>
      <x:c r="C14" s="1"/>
      <x:c r="D14" s="1"/>
      <x:c r="E14" s="1"/>
      <x:c r="F14" s="1"/>
      <x:c r="G14" s="1"/>
      <x:c r="H14" s="1"/>
      <x:c r="I14" s="1"/>
      <x:c r="J14" s="1"/>
    </x:row>
    <x:row r="15" ht="23" customHeight="1">
      <x:c r="A15" s="1"/>
      <x:c r="B15" s="1" t="str">
        <x:v>How to use</x:v>
      </x:c>
      <x:c r="C15" s="1"/>
      <x:c r="D15" s="1"/>
      <x:c r="E15" s="1"/>
      <x:c r="F15" s="1"/>
      <x:c r="G15" s="1"/>
      <x:c r="H15" s="1"/>
      <x:c r="I15" s="1"/>
      <x:c r="J15" s="1"/>
    </x:row>
    <x:row r="16" ht="23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</x:row>
    <x:row r="17" ht="30" customHeight="1">
      <x:c r="A17" s="1"/>
      <x:c r="B17" s="27" t="str">
        <x:v>Blue numbers are editable inputs. Black numbers are calculations.</x:v>
      </x:c>
      <x:c r="C17" s="27"/>
      <x:c r="D17" s="27"/>
      <x:c r="E17" s="27"/>
      <x:c r="F17" s="27"/>
      <x:c r="G17" s="27"/>
      <x:c r="H17" s="27"/>
      <x:c r="I17" s="1"/>
      <x:c r="J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30" customHeight="1">
      <x:c r="A19" s="1"/>
      <x:c r="B19" s="27" t="str">
        <x:v>Each bond tab contains inputs, coupon cash flows and the yield calculation.</x:v>
      </x:c>
      <x:c r="C19" s="27"/>
      <x:c r="D19" s="27"/>
      <x:c r="E19" s="27"/>
      <x:c r="F19" s="27"/>
      <x:c r="G19" s="27"/>
      <x:c r="H19" s="27"/>
      <x:c r="I19" s="1"/>
      <x:c r="J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30" customHeight="1">
      <x:c r="A21" s="1"/>
      <x:c r="B21" s="27" t="str">
        <x:v>Price basis defaults to Clean. Switch to Full on a bond tab to test quote interpretation.</x:v>
      </x:c>
      <x:c r="C21" s="27"/>
      <x:c r="D21" s="27"/>
      <x:c r="E21" s="27"/>
      <x:c r="F21" s="27"/>
      <x:c r="G21" s="27"/>
      <x:c r="H21" s="27"/>
      <x:c r="I21" s="1"/>
      <x:c r="J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30" customHeight="1">
      <x:c r="A23" s="1"/>
      <x:c r="B23" s="27" t="str">
        <x:v>Prices and quoted yields come from the supplied March 2023 working draft.</x:v>
      </x:c>
      <x:c r="C23" s="27"/>
      <x:c r="D23" s="27"/>
      <x:c r="E23" s="27"/>
      <x:c r="F23" s="27"/>
      <x:c r="G23" s="27"/>
      <x:c r="H23" s="27"/>
      <x:c r="I23" s="1"/>
      <x:c r="J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30" customHeight="1">
      <x:c r="A25" s="1"/>
      <x:c r="B25" s="27" t="str">
        <x:v>Nominal YTM uses coupon-period discounting. Effective yield annualizes compounding.</x:v>
      </x:c>
      <x:c r="C25" s="27"/>
      <x:c r="D25" s="27"/>
      <x:c r="E25" s="27"/>
      <x:c r="F25" s="27"/>
      <x:c r="G25" s="27"/>
      <x:c r="H25" s="27"/>
      <x:c r="I25" s="1"/>
      <x:c r="J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30" customHeight="1">
      <x:c r="A27" s="1"/>
      <x:c r="B27" s="27" t="str">
        <x:v>For 184575, the maturity case holds the coupon constant after its 2025 reset option.</x:v>
      </x:c>
      <x:c r="C27" s="27"/>
      <x:c r="D27" s="27"/>
      <x:c r="E27" s="27"/>
      <x:c r="F27" s="27"/>
      <x:c r="G27" s="27"/>
      <x:c r="H27" s="27"/>
      <x:c r="I27" s="1"/>
      <x:c r="J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30" customHeight="1">
      <x:c r="A29" s="1"/>
      <x:c r="B29" s="27" t="str">
        <x:v>Put yield assumes par redemption after valid exercise. It is not a guaranteed return.</x:v>
      </x:c>
      <x:c r="C29" s="27"/>
      <x:c r="D29" s="27"/>
      <x:c r="E29" s="27"/>
      <x:c r="F29" s="27"/>
      <x:c r="G29" s="27"/>
      <x:c r="H29" s="27"/>
      <x:c r="I29" s="1"/>
      <x:c r="J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30" customHeight="1">
      <x:c r="A31" s="1"/>
      <x:c r="B31" s="27" t="str">
        <x:v>Historical fund screening and credit-event interpretation are in the written report.</x:v>
      </x:c>
      <x:c r="C31" s="27"/>
      <x:c r="D31" s="27"/>
      <x:c r="E31" s="27"/>
      <x:c r="F31" s="27"/>
      <x:c r="G31" s="27"/>
      <x:c r="H31" s="27"/>
      <x:c r="I31" s="1"/>
      <x:c r="J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35" customHeight="1">
      <x:c r="A33" s="1"/>
      <x:c r="B33" s="27" t="str">
        <x:v>Price_Yield shows linked price curves. Credit_Case includes the event chronology below its price calculations.</x:v>
      </x:c>
      <x:c r="C33" s="27"/>
      <x:c r="D33" s="27"/>
      <x:c r="E33" s="27"/>
      <x:c r="F33" s="27"/>
      <x:c r="G33" s="27"/>
      <x:c r="H33" s="27"/>
      <x:c r="I33" s="1"/>
      <x:c r="J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</x:sheetData>
  <x:mergeCells>
    <x:mergeCell ref="B17:H17"/>
    <x:mergeCell ref="B19:H19"/>
    <x:mergeCell ref="B21:H21"/>
    <x:mergeCell ref="B23:H23"/>
    <x:mergeCell ref="B25:H25"/>
    <x:mergeCell ref="B27:H27"/>
    <x:mergeCell ref="B29:H29"/>
    <x:mergeCell ref="B31:H31"/>
    <x:mergeCell ref="B33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1"/>
      <x:c r="B2" s="3" t="str">
        <x:v>010504 — 05 Treasury (4)</x:v>
      </x:c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5" t="str">
        <x:v>RMB per 100 face value. Contractual coupon dates; pre-tax returns.</x:v>
      </x:c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0" t="str">
        <x:v>Reconstructed nominal YTM</x:v>
      </x:c>
      <x:c r="C5" s="12" t="n">
        <x:f>IF(AND(COUNT(C10)=1,C10&gt;0,OR(C11="Clean",C11="Full"),C12&gt;=C13,C12&lt;C14,C9&gt;0,C18&gt;0),IF(AND(SUM($E$27/(1+(-0.1)/$C$9)^$F$27,$E$28/(1+(-0.1)/$C$9)^$F$28,$E$29/(1+(-0.1)/$C$9)^$F$29,$E$30/(1+(-0.1)/$C$9)^$F$30,$E$31/(1+(-0.1)/$C$9)^$F$31)&gt;=C21,SUM($E$27/(1+(1)/$C$9)^$F$27,$E$28/(1+(1)/$C$9)^$F$28,$E$29/(1+(1)/$C$9)^$F$29,$E$30/(1+(1)/$C$9)^$F$30,$E$31/(1+(1)/$C$9)^$F$31)&lt;=C21),(D90+E90)/2,"n.a."),"n.a.")</x:f>
        <x:v>0.01915930739610302</x:v>
      </x:c>
      <x:c r="D5" s="1"/>
      <x:c r="E5" s="1"/>
      <x:c r="F5" s="1"/>
      <x:c r="G5" s="1"/>
      <x:c r="H5" s="1"/>
      <x:c r="I5" s="1"/>
      <x:c r="J5" s="1"/>
    </x:row>
    <x:row r="6" ht="23" customHeight="1">
      <x:c r="A6" s="1"/>
      <x:c r="B6" s="10" t="str">
        <x:v>Effective annual yield</x:v>
      </x:c>
      <x:c r="C6" s="12" t="n">
        <x:f>IF(ISNUMBER(C5),(1+C5/C9)^C9-1,"n.a.")</x:f>
        <x:v>0.019251077161077434</x:v>
      </x:c>
      <x:c r="D6" s="1"/>
      <x:c r="E6" s="1"/>
      <x:c r="F6" s="1"/>
      <x:c r="G6" s="1"/>
      <x:c r="H6" s="1"/>
      <x:c r="I6" s="1"/>
      <x:c r="J6" s="1"/>
    </x:row>
    <x:row r="7" ht="23" customHeight="1">
      <x:c r="A7" s="1"/>
      <x:c r="B7" s="1"/>
      <x:c r="C7" s="13"/>
      <x:c r="D7" s="1"/>
      <x:c r="E7" s="1"/>
      <x:c r="F7" s="1"/>
      <x:c r="G7" s="1"/>
      <x:c r="H7" s="1"/>
      <x:c r="I7" s="1"/>
      <x:c r="J7" s="1"/>
    </x:row>
    <x:row r="8" ht="23" customHeight="1">
      <x:c r="A8" s="1"/>
      <x:c r="B8" s="1" t="str">
        <x:v>Annual coupon rate</x:v>
      </x:c>
      <x:c r="C8" s="14" t="n">
        <x:v>0.0411</x:v>
      </x:c>
      <x:c r="D8" s="1"/>
      <x:c r="E8" s="1"/>
      <x:c r="F8" s="1"/>
      <x:c r="G8" s="1"/>
      <x:c r="H8" s="28" t="str">
        <x:v>SSE Statistical Yearbook 2012, bond terms table; MOF issue notice.</x:v>
      </x:c>
      <x:c r="I8" s="28"/>
      <x:c r="J8" s="28"/>
    </x:row>
    <x:row r="9" ht="23" customHeight="1">
      <x:c r="A9" s="1"/>
      <x:c r="B9" s="1" t="str">
        <x:v>Coupons per year</x:v>
      </x:c>
      <x:c r="C9" s="15" t="n">
        <x:v>2</x:v>
      </x:c>
      <x:c r="D9" s="1"/>
      <x:c r="E9" s="1"/>
      <x:c r="F9" s="1"/>
      <x:c r="G9" s="1"/>
      <x:c r="H9" s="28"/>
      <x:c r="I9" s="28"/>
      <x:c r="J9" s="28"/>
    </x:row>
    <x:row r="10" ht="23" customHeight="1">
      <x:c r="A10" s="1"/>
      <x:c r="B10" s="1" t="str">
        <x:v>Quoted price</x:v>
      </x:c>
      <x:c r="C10" s="16" t="n">
        <x:v>104.648</x:v>
      </x:c>
      <x:c r="D10" s="1"/>
      <x:c r="E10" s="1"/>
      <x:c r="F10" s="1"/>
      <x:c r="G10" s="1"/>
      <x:c r="H10" s="28"/>
      <x:c r="I10" s="28"/>
      <x:c r="J10" s="28"/>
    </x:row>
    <x:row r="11" ht="23" customHeight="1">
      <x:c r="A11" s="1"/>
      <x:c r="B11" s="1" t="str">
        <x:v>Price basis</x:v>
      </x:c>
      <x:c r="C11" s="1" t="str">
        <x:v>Clean</x:v>
      </x:c>
      <x:c r="D11" s="1"/>
      <x:c r="E11" s="1"/>
      <x:c r="F11" s="1"/>
      <x:c r="G11" s="1"/>
      <x:c r="H11" s="1"/>
      <x:c r="I11" s="1"/>
      <x:c r="J11" s="1"/>
    </x:row>
    <x:row r="12" ht="23" customHeight="1">
      <x:c r="A12" s="1"/>
      <x:c r="B12" s="1" t="str">
        <x:v>Model settlement date</x:v>
      </x:c>
      <x:c r="C12" s="17" t="n">
        <x:v>44998</x:v>
      </x:c>
      <x:c r="D12" s="1"/>
      <x:c r="E12" s="1"/>
      <x:c r="F12" s="1"/>
      <x:c r="G12" s="1"/>
      <x:c r="H12" s="28" t="str">
        <x:v>Settlement: 13 Mar 2023, assumed equal to observation date.</x:v>
      </x:c>
      <x:c r="I12" s="28"/>
      <x:c r="J12" s="28"/>
    </x:row>
    <x:row r="13" ht="23" customHeight="1">
      <x:c r="A13" s="1"/>
      <x:c r="B13" s="1" t="str">
        <x:v>Previous coupon date</x:v>
      </x:c>
      <x:c r="C13" s="17" t="n">
        <x:v>44880</x:v>
      </x:c>
      <x:c r="D13" s="1"/>
      <x:c r="E13" s="1"/>
      <x:c r="F13" s="1"/>
      <x:c r="G13" s="1"/>
      <x:c r="H13" s="28"/>
      <x:c r="I13" s="28"/>
      <x:c r="J13" s="28"/>
    </x:row>
    <x:row r="14" ht="23" customHeight="1">
      <x:c r="A14" s="1"/>
      <x:c r="B14" s="1" t="str">
        <x:v>Next coupon date</x:v>
      </x:c>
      <x:c r="C14" s="18" t="n">
        <x:f>B27</x:f>
        <x:v>45061</x:v>
      </x:c>
      <x:c r="D14" s="1"/>
      <x:c r="E14" s="1"/>
      <x:c r="F14" s="1"/>
      <x:c r="G14" s="1"/>
      <x:c r="H14" s="28"/>
      <x:c r="I14" s="28"/>
      <x:c r="J14" s="28"/>
    </x:row>
    <x:row r="15" ht="23" customHeight="1">
      <x:c r="A15" s="1"/>
      <x:c r="B15" s="1" t="str">
        <x:v>Contractual maturity</x:v>
      </x:c>
      <x:c r="C15" s="18" t="n">
        <x:f>B31</x:f>
        <x:v>45792</x:v>
      </x:c>
      <x:c r="D15" s="1"/>
      <x:c r="E15" s="1"/>
      <x:c r="F15" s="1"/>
      <x:c r="G15" s="1"/>
      <x:c r="H15" s="1"/>
      <x:c r="I15" s="1"/>
      <x:c r="J15" s="1"/>
    </x:row>
    <x:row r="16" ht="23" customHeight="1">
      <x:c r="A16" s="1"/>
      <x:c r="B16" s="1" t="str">
        <x:v>Coupon-period days</x:v>
      </x:c>
      <x:c r="C16" s="19" t="n">
        <x:f>C14-C13</x:f>
        <x:v>181</x:v>
      </x:c>
      <x:c r="D16" s="1"/>
      <x:c r="E16" s="1"/>
      <x:c r="F16" s="1"/>
      <x:c r="G16" s="1"/>
      <x:c r="H16" s="28" t="str">
        <x:v>PBOC 2007 formula attachment, printed p.4: actual coupon-period days.</x:v>
      </x:c>
      <x:c r="I16" s="28"/>
      <x:c r="J16" s="28"/>
    </x:row>
    <x:row r="17" ht="23" customHeight="1">
      <x:c r="A17" s="1"/>
      <x:c r="B17" s="1" t="str">
        <x:v>Accrued days</x:v>
      </x:c>
      <x:c r="C17" s="19" t="n">
        <x:f>C12-C13</x:f>
        <x:v>118</x:v>
      </x:c>
      <x:c r="D17" s="1"/>
      <x:c r="E17" s="1"/>
      <x:c r="F17" s="1"/>
      <x:c r="G17" s="1"/>
      <x:c r="H17" s="28"/>
      <x:c r="I17" s="28"/>
      <x:c r="J17" s="28"/>
    </x:row>
    <x:row r="18" ht="23" customHeight="1">
      <x:c r="A18" s="1"/>
      <x:c r="B18" s="1" t="str">
        <x:v>Redemption per 100 face</x:v>
      </x:c>
      <x:c r="C18" s="16" t="n">
        <x:v>100</x:v>
      </x:c>
      <x:c r="D18" s="1"/>
      <x:c r="E18" s="1"/>
      <x:c r="F18" s="1"/>
      <x:c r="G18" s="1"/>
      <x:c r="H18" s="28"/>
      <x:c r="I18" s="28"/>
      <x:c r="J18" s="28"/>
    </x:row>
    <x:row r="19" ht="23" customHeight="1">
      <x:c r="A19" s="1"/>
      <x:c r="B19" s="1"/>
      <x:c r="C19" s="20"/>
      <x:c r="D19" s="1"/>
      <x:c r="E19" s="1"/>
      <x:c r="F19" s="1"/>
      <x:c r="G19" s="1"/>
      <x:c r="H19" s="1"/>
      <x:c r="I19" s="1"/>
      <x:c r="J19" s="1"/>
    </x:row>
    <x:row r="20" ht="23" customHeight="1">
      <x:c r="A20" s="1"/>
      <x:c r="B20" s="1" t="str">
        <x:v>Accrued interest</x:v>
      </x:c>
      <x:c r="C20" s="21" t="n">
        <x:f>100*C8/C9*C17/C16</x:f>
        <x:v>1.3397237569060771</x:v>
      </x:c>
      <x:c r="D20" s="1"/>
      <x:c r="E20" s="1"/>
      <x:c r="F20" s="1"/>
      <x:c r="G20" s="1"/>
      <x:c r="H20" s="28" t="str">
        <x:v>Accrual: annual coupon / frequency × elapsed / period days.</x:v>
      </x:c>
      <x:c r="I20" s="28"/>
      <x:c r="J20" s="28"/>
    </x:row>
    <x:row r="21" ht="23" customHeight="1">
      <x:c r="A21" s="1"/>
      <x:c r="B21" s="1" t="str">
        <x:v>Full settlement price</x:v>
      </x:c>
      <x:c r="C21" s="21" t="n">
        <x:f>IF(COUNT(C10)=0,"n.a.",IF(C11="Clean",C10+C20,C10))</x:f>
        <x:v>105.98772375690608</x:v>
      </x:c>
      <x:c r="D21" s="1"/>
      <x:c r="E21" s="1"/>
      <x:c r="F21" s="1"/>
      <x:c r="G21" s="1"/>
      <x:c r="H21" s="28"/>
      <x:c r="I21" s="28"/>
      <x:c r="J21" s="28"/>
    </x:row>
    <x:row r="22" ht="23" customHeight="1">
      <x:c r="A22" s="1"/>
      <x:c r="B22" s="1" t="str">
        <x:v>Quoted yield in coursework</x:v>
      </x:c>
      <x:c r="C22" s="14" t="n">
        <x:v>0.0192</x:v>
      </x:c>
      <x:c r="D22" s="1"/>
      <x:c r="E22" s="1"/>
      <x:c r="F22" s="1"/>
      <x:c r="G22" s="1"/>
      <x:c r="H22" s="28"/>
      <x:c r="I22" s="28"/>
      <x:c r="J22" s="28"/>
    </x:row>
    <x:row r="23" ht="23" customHeight="1">
      <x:c r="A23" s="1"/>
      <x:c r="B23" s="1" t="str">
        <x:v>Current yield on clean price</x:v>
      </x:c>
      <x:c r="C23" s="22" t="n">
        <x:f>IF(AND(COUNT(C10)=1,C10&gt;0),100*C8/(C21-C20),"n.a.")</x:f>
        <x:v>0.03927452029661341</x:v>
      </x:c>
      <x:c r="D23" s="1"/>
      <x:c r="E23" s="1"/>
      <x:c r="F23" s="1"/>
      <x:c r="G23" s="1"/>
      <x:c r="H23" s="1"/>
      <x:c r="I23" s="1"/>
      <x:c r="J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40" customHeight="1">
      <x:c r="A26" s="1"/>
      <x:c r="B26" s="25" t="str">
        <x:v>Coupon date</x:v>
      </x:c>
      <x:c r="C26" s="25" t="str">
        <x:v>Coupon</x:v>
      </x:c>
      <x:c r="D26" s="25" t="str">
        <x:v>Principal</x:v>
      </x:c>
      <x:c r="E26" s="25" t="str">
        <x:v>Cash flow</x:v>
      </x:c>
      <x:c r="F26" s="26" t="str">
        <x:v>Periods from settlement</x:v>
      </x:c>
      <x:c r="G26" s="1"/>
      <x:c r="H26" s="28" t="str">
        <x:v>Price: Yield to Maturity and Selection of Debt Funds (2), 2023 working draft.</x:v>
      </x:c>
      <x:c r="I26" s="28"/>
      <x:c r="J26" s="28"/>
    </x:row>
    <x:row r="27" ht="23" customHeight="1">
      <x:c r="A27" s="1"/>
      <x:c r="B27" s="17" t="n">
        <x:v>45061</x:v>
      </x:c>
      <x:c r="C27" s="21" t="n">
        <x:f>100*$C$8/$C$9</x:f>
        <x:v>2.0549999999999997</x:v>
      </x:c>
      <x:c r="D27" s="21" t="n">
        <x:f>0</x:f>
        <x:v>0</x:v>
      </x:c>
      <x:c r="E27" s="21" t="n">
        <x:f>C27+D27</x:f>
        <x:v>2.0549999999999997</x:v>
      </x:c>
      <x:c r="F27" s="21" t="n">
        <x:f>($C$14-$C$12)/$C$16+0</x:f>
        <x:v>0.34806629834254144</x:v>
      </x:c>
      <x:c r="G27" s="1"/>
      <x:c r="H27" s="28"/>
      <x:c r="I27" s="28"/>
      <x:c r="J27" s="28"/>
    </x:row>
    <x:row r="28" ht="23" customHeight="1">
      <x:c r="A28" s="1"/>
      <x:c r="B28" s="17" t="n">
        <x:v>45245</x:v>
      </x:c>
      <x:c r="C28" s="21" t="n">
        <x:f>100*$C$8/$C$9</x:f>
        <x:v>2.0549999999999997</x:v>
      </x:c>
      <x:c r="D28" s="21" t="n">
        <x:f>0</x:f>
        <x:v>0</x:v>
      </x:c>
      <x:c r="E28" s="21" t="n">
        <x:f>C28+D28</x:f>
        <x:v>2.0549999999999997</x:v>
      </x:c>
      <x:c r="F28" s="21" t="n">
        <x:f>($C$14-$C$12)/$C$16+1</x:f>
        <x:v>1.3480662983425415</x:v>
      </x:c>
      <x:c r="G28" s="1"/>
      <x:c r="H28" s="28"/>
      <x:c r="I28" s="28"/>
      <x:c r="J28" s="28"/>
    </x:row>
    <x:row r="29" ht="23" customHeight="1">
      <x:c r="A29" s="1"/>
      <x:c r="B29" s="17" t="n">
        <x:v>45427</x:v>
      </x:c>
      <x:c r="C29" s="21" t="n">
        <x:f>100*$C$8/$C$9</x:f>
        <x:v>2.0549999999999997</x:v>
      </x:c>
      <x:c r="D29" s="21" t="n">
        <x:f>0</x:f>
        <x:v>0</x:v>
      </x:c>
      <x:c r="E29" s="21" t="n">
        <x:f>C29+D29</x:f>
        <x:v>2.0549999999999997</x:v>
      </x:c>
      <x:c r="F29" s="21" t="n">
        <x:f>($C$14-$C$12)/$C$16+2</x:f>
        <x:v>2.3480662983425415</x:v>
      </x:c>
      <x:c r="G29" s="1"/>
      <x:c r="H29" s="1"/>
      <x:c r="I29" s="1"/>
      <x:c r="J29" s="1"/>
    </x:row>
    <x:row r="30" ht="23" customHeight="1">
      <x:c r="A30" s="1"/>
      <x:c r="B30" s="17" t="n">
        <x:v>45611</x:v>
      </x:c>
      <x:c r="C30" s="21" t="n">
        <x:f>100*$C$8/$C$9</x:f>
        <x:v>2.0549999999999997</x:v>
      </x:c>
      <x:c r="D30" s="21" t="n">
        <x:f>0</x:f>
        <x:v>0</x:v>
      </x:c>
      <x:c r="E30" s="21" t="n">
        <x:f>C30+D30</x:f>
        <x:v>2.0549999999999997</x:v>
      </x:c>
      <x:c r="F30" s="21" t="n">
        <x:f>($C$14-$C$12)/$C$16+3</x:f>
        <x:v>3.3480662983425415</x:v>
      </x:c>
      <x:c r="G30" s="1"/>
      <x:c r="H30" s="28" t="str">
        <x:v>Clean-price treatment is an assumption. Select Full to test the alternative.</x:v>
      </x:c>
      <x:c r="I30" s="28"/>
      <x:c r="J30" s="28"/>
    </x:row>
    <x:row r="31" ht="23" customHeight="1">
      <x:c r="A31" s="1"/>
      <x:c r="B31" s="17" t="n">
        <x:v>45792</x:v>
      </x:c>
      <x:c r="C31" s="21" t="n">
        <x:f>100*$C$8/$C$9</x:f>
        <x:v>2.0549999999999997</x:v>
      </x:c>
      <x:c r="D31" s="21" t="n">
        <x:f>$C$18</x:f>
        <x:v>100</x:v>
      </x:c>
      <x:c r="E31" s="21" t="n">
        <x:f>C31+D31</x:f>
        <x:v>102.055</x:v>
      </x:c>
      <x:c r="F31" s="21" t="n">
        <x:f>($C$14-$C$12)/$C$16+4</x:f>
        <x:v>4.348066298342541</x:v>
      </x:c>
      <x:c r="G31" s="1"/>
      <x:c r="H31" s="28"/>
      <x:c r="I31" s="28"/>
      <x:c r="J31" s="28"/>
    </x:row>
    <x:row r="32" ht="23" customHeight="1">
      <x:c r="A32" s="1"/>
      <x:c r="B32" s="1"/>
      <x:c r="C32" s="1"/>
      <x:c r="D32" s="1"/>
      <x:c r="E32" s="1"/>
      <x:c r="F32" s="1"/>
      <x:c r="G32" s="1"/>
      <x:c r="H32" s="28"/>
      <x:c r="I32" s="28"/>
      <x:c r="J32" s="28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3" customHeight="1">
      <x:c r="A34" s="1"/>
      <x:c r="B34" s="1" t="str">
        <x:v>Price at YTM - 100 bp</x:v>
      </x:c>
      <x:c r="C34" s="21" t="n">
        <x:f>IF(ISNUMBER(C5),SUM($E$27/(1+($C$5-0.01)/$C$9)^$F$27,$E$28/(1+($C$5-0.01)/$C$9)^$F$28,$E$29/(1+($C$5-0.01)/$C$9)^$F$29,$E$30/(1+($C$5-0.01)/$C$9)^$F$30,$E$31/(1+($C$5-0.01)/$C$9)^$F$31)-$C$20,"n.a.")</x:f>
        <x:v>106.85872666733916</x:v>
      </x:c>
      <x:c r="D34" s="1"/>
      <x:c r="E34" s="1"/>
      <x:c r="F34" s="1"/>
      <x:c r="G34" s="1"/>
      <x:c r="H34" s="28" t="str">
        <x:v>Quoted yield: original coursework, 13 Mar 2023.</x:v>
      </x:c>
      <x:c r="I34" s="28"/>
      <x:c r="J34" s="28"/>
    </x:row>
    <x:row r="35" ht="23" customHeight="1">
      <x:c r="A35" s="1"/>
      <x:c r="B35" s="1" t="str">
        <x:v>Price at YTM + 100 bp</x:v>
      </x:c>
      <x:c r="C35" s="21" t="n">
        <x:f>IF(ISNUMBER(C5),SUM($E$27/(1+($C$5+0.01)/$C$9)^$F$27,$E$28/(1+($C$5+0.01)/$C$9)^$F$28,$E$29/(1+($C$5+0.01)/$C$9)^$F$29,$E$30/(1+($C$5+0.01)/$C$9)^$F$30,$E$31/(1+($C$5+0.01)/$C$9)^$F$31)-$C$20,"n.a.")</x:f>
        <x:v>102.4944027845342</x:v>
      </x:c>
      <x:c r="D35" s="1"/>
      <x:c r="E35" s="1"/>
      <x:c r="F35" s="1"/>
      <x:c r="G35" s="1"/>
      <x:c r="H35" s="28"/>
      <x:c r="I35" s="28"/>
      <x:c r="J35" s="28"/>
    </x:row>
    <x:row r="36" ht="23" customHeight="1">
      <x:c r="A36" s="1"/>
      <x:c r="B36" s="1"/>
      <x:c r="C36" s="1"/>
      <x:c r="D36" s="1"/>
      <x:c r="E36" s="1"/>
      <x:c r="F36" s="1"/>
      <x:c r="G36" s="1"/>
      <x:c r="H36" s="28"/>
      <x:c r="I36" s="28"/>
      <x:c r="J36" s="28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28" t="str">
        <x:v>Schedule dates are contractual, without holiday shifts or tax deductions.</x:v>
      </x:c>
      <x:c r="I38" s="28"/>
      <x:c r="J38" s="28"/>
    </x:row>
    <x:row r="39" ht="23" customHeight="1">
      <x:c r="A39" s="1"/>
      <x:c r="B39" s="1"/>
      <x:c r="C39" s="1"/>
      <x:c r="D39" s="1"/>
      <x:c r="E39" s="1"/>
      <x:c r="F39" s="1"/>
      <x:c r="G39" s="1"/>
      <x:c r="H39" s="28"/>
      <x:c r="I39" s="28"/>
      <x:c r="J39" s="28"/>
    </x:row>
    <x:row r="40" ht="23" customHeight="1">
      <x:c r="A40" s="1"/>
      <x:c r="B40" s="1"/>
      <x:c r="C40" s="1"/>
      <x:c r="D40" s="1"/>
      <x:c r="E40" s="1"/>
      <x:c r="F40" s="1"/>
      <x:c r="G40" s="1"/>
      <x:c r="H40" s="28"/>
      <x:c r="I40" s="28"/>
      <x:c r="J40" s="28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28" t="str">
        <x:v>Settlement changes are supported within the stated coupon period only.</x:v>
      </x:c>
      <x:c r="I42" s="28"/>
      <x:c r="J42" s="28"/>
    </x:row>
    <x:row r="43" ht="23" customHeight="1">
      <x:c r="A43" s="1"/>
      <x:c r="B43" s="1"/>
      <x:c r="C43" s="1"/>
      <x:c r="D43" s="1"/>
      <x:c r="E43" s="1"/>
      <x:c r="F43" s="1"/>
      <x:c r="G43" s="1"/>
      <x:c r="H43" s="28"/>
      <x:c r="I43" s="28"/>
      <x:c r="J43" s="28"/>
    </x:row>
    <x:row r="44" ht="23" customHeight="1">
      <x:c r="A44" s="1"/>
      <x:c r="B44" s="1"/>
      <x:c r="C44" s="1"/>
      <x:c r="D44" s="1"/>
      <x:c r="E44" s="1"/>
      <x:c r="F44" s="1"/>
      <x:c r="G44" s="1"/>
      <x:c r="H44" s="28"/>
      <x:c r="I44" s="28"/>
      <x:c r="J44" s="28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3" customHeight="1">
      <x:c r="A47" s="1"/>
      <x:c r="B47" s="1" t="str">
        <x:v>Yield calculation — bisection</x:v>
      </x:c>
      <x:c r="C47" s="1"/>
      <x:c r="D47" s="1"/>
      <x:c r="E47" s="1"/>
      <x:c r="F47" s="1"/>
      <x:c r="G47" s="1"/>
      <x:c r="H47" s="1"/>
      <x:c r="I47" s="1"/>
      <x:c r="J47" s="1"/>
    </x:row>
    <x:row r="48" ht="23" customHeight="1">
      <x:c r="A48" s="1"/>
      <x:c r="B48" s="5" t="str">
        <x:v>Solve full price = discounted scheduled cash flows. Bounds: -10% to 100%.</x:v>
      </x:c>
      <x:c r="C48" s="1"/>
      <x:c r="D48" s="1"/>
      <x:c r="E48" s="1"/>
      <x:c r="F48" s="1"/>
      <x:c r="G48" s="1"/>
      <x:c r="H48" s="1"/>
      <x:c r="I48" s="1"/>
      <x:c r="J48" s="1"/>
    </x:row>
    <x:row r="49" ht="29" customHeight="1">
      <x:c r="A49" s="1"/>
      <x:c r="B49" s="25" t="str">
        <x:v>Iteration</x:v>
      </x:c>
      <x:c r="C49" s="25" t="str">
        <x:v>Trial yield</x:v>
      </x:c>
      <x:c r="D49" s="25" t="str">
        <x:v>Lower yield</x:v>
      </x:c>
      <x:c r="E49" s="25" t="str">
        <x:v>Upper yield</x:v>
      </x:c>
      <x:c r="F49" s="25" t="str">
        <x:v>Full price at trial</x:v>
      </x:c>
      <x:c r="G49" s="1"/>
      <x:c r="H49" s="1"/>
      <x:c r="I49" s="1"/>
      <x:c r="J49" s="1"/>
    </x:row>
    <x:row r="50" ht="23" customHeight="1">
      <x:c r="A50" s="1"/>
      <x:c r="B50" s="6" t="n">
        <x:v>0</x:v>
      </x:c>
      <x:c r="C50" s="29" t="n">
        <x:f>(D50+E50)/2</x:f>
        <x:v>0.45</x:v>
      </x:c>
      <x:c r="D50" s="29" t="n">
        <x:f>-0.1</x:f>
        <x:v>-0.1</x:v>
      </x:c>
      <x:c r="E50" s="29" t="n">
        <x:f>1</x:f>
        <x:v>1</x:v>
      </x:c>
      <x:c r="F50" s="30" t="n">
        <x:f>SUM($E$27/(1+C50/$C$9)^$F$27,$E$28/(1+C50/$C$9)^$F$28,$E$29/(1+C50/$C$9)^$F$29,$E$30/(1+C50/$C$9)^$F$30,$E$31/(1+C50/$C$9)^$F$31)</x:f>
        <x:v>48.02487519292134</x:v>
      </x:c>
      <x:c r="G50" s="1"/>
      <x:c r="H50" s="1"/>
      <x:c r="I50" s="1"/>
      <x:c r="J50" s="1"/>
    </x:row>
    <x:row r="51" ht="23" customHeight="1">
      <x:c r="A51" s="1"/>
      <x:c r="B51" s="6" t="n">
        <x:v>1</x:v>
      </x:c>
      <x:c r="C51" s="29" t="n">
        <x:f>(D51+E51)/2</x:f>
        <x:v>0.175</x:v>
      </x:c>
      <x:c r="D51" s="29" t="n">
        <x:f>IF(F50&gt;$C$21,C50,D50)</x:f>
        <x:v>-0.1</x:v>
      </x:c>
      <x:c r="E51" s="29" t="n">
        <x:f>IF(F50&gt;$C$21,E50,C50)</x:f>
        <x:v>0.45</x:v>
      </x:c>
      <x:c r="F51" s="30" t="n">
        <x:f>SUM($E$27/(1+C51/$C$9)^$F$27,$E$28/(1+C51/$C$9)^$F$28,$E$29/(1+C51/$C$9)^$F$29,$E$30/(1+C51/$C$9)^$F$30,$E$31/(1+C51/$C$9)^$F$31)</x:f>
        <x:v>77.93651578311588</x:v>
      </x:c>
      <x:c r="G51" s="1"/>
      <x:c r="H51" s="1"/>
      <x:c r="I51" s="1"/>
      <x:c r="J51" s="1"/>
    </x:row>
    <x:row r="52" ht="23" customHeight="1">
      <x:c r="A52" s="1"/>
      <x:c r="B52" s="6" t="n">
        <x:v>2</x:v>
      </x:c>
      <x:c r="C52" s="29" t="n">
        <x:f>(D52+E52)/2</x:f>
        <x:v>0.03749999999999999</x:v>
      </x:c>
      <x:c r="D52" s="29" t="n">
        <x:f>IF(F51&gt;$C$21,C51,D51)</x:f>
        <x:v>-0.1</x:v>
      </x:c>
      <x:c r="E52" s="29" t="n">
        <x:f>IF(F51&gt;$C$21,E51,C51)</x:f>
        <x:v>0.175</x:v>
      </x:c>
      <x:c r="F52" s="30" t="n">
        <x:f>SUM($E$27/(1+C52/$C$9)^$F$27,$E$28/(1+C52/$C$9)^$F$28,$E$29/(1+C52/$C$9)^$F$29,$E$30/(1+C52/$C$9)^$F$30,$E$31/(1+C52/$C$9)^$F$31)</x:f>
        <x:v>102.08030464055622</x:v>
      </x:c>
      <x:c r="G52" s="1"/>
      <x:c r="H52" s="1"/>
      <x:c r="I52" s="1"/>
      <x:c r="J52" s="1"/>
    </x:row>
    <x:row r="53" ht="23" customHeight="1">
      <x:c r="A53" s="1"/>
      <x:c r="B53" s="6" t="n">
        <x:v>3</x:v>
      </x:c>
      <x:c r="C53" s="29" t="n">
        <x:f>(D53+E53)/2</x:f>
        <x:v>-0.03125000000000001</x:v>
      </x:c>
      <x:c r="D53" s="29" t="n">
        <x:f>IF(F52&gt;$C$21,C52,D52)</x:f>
        <x:v>-0.1</x:v>
      </x:c>
      <x:c r="E53" s="29" t="n">
        <x:f>IF(F52&gt;$C$21,E52,C52)</x:f>
        <x:v>0.03749999999999999</x:v>
      </x:c>
      <x:c r="F53" s="30" t="n">
        <x:f>SUM($E$27/(1+C53/$C$9)^$F$27,$E$28/(1+C53/$C$9)^$F$28,$E$29/(1+C53/$C$9)^$F$29,$E$30/(1+C53/$C$9)^$F$30,$E$31/(1+C53/$C$9)^$F$31)</x:f>
        <x:v>117.75208228742423</x:v>
      </x:c>
      <x:c r="G53" s="1"/>
      <x:c r="H53" s="1"/>
      <x:c r="I53" s="1"/>
      <x:c r="J53" s="1"/>
    </x:row>
    <x:row r="54" ht="23" customHeight="1">
      <x:c r="A54" s="1"/>
      <x:c r="B54" s="6" t="n">
        <x:v>4</x:v>
      </x:c>
      <x:c r="C54" s="29" t="n">
        <x:f>(D54+E54)/2</x:f>
        <x:v>0.0031249999999999924</x:v>
      </x:c>
      <x:c r="D54" s="29" t="n">
        <x:f>IF(F53&gt;$C$21,C53,D53)</x:f>
        <x:v>-0.03125000000000001</x:v>
      </x:c>
      <x:c r="E54" s="29" t="n">
        <x:f>IF(F53&gt;$C$21,E53,C53)</x:f>
        <x:v>0.03749999999999999</x:v>
      </x:c>
      <x:c r="F54" s="30" t="n">
        <x:f>SUM($E$27/(1+C54/$C$9)^$F$27,$E$28/(1+C54/$C$9)^$F$28,$E$29/(1+C54/$C$9)^$F$29,$E$30/(1+C54/$C$9)^$F$30,$E$31/(1+C54/$C$9)^$F$31)</x:f>
        <x:v>109.56086974029145</x:v>
      </x:c>
      <x:c r="G54" s="1"/>
      <x:c r="H54" s="1"/>
      <x:c r="I54" s="1"/>
      <x:c r="J54" s="1"/>
    </x:row>
    <x:row r="55" ht="23" customHeight="1">
      <x:c r="A55" s="1"/>
      <x:c r="B55" s="6" t="n">
        <x:v>5</x:v>
      </x:c>
      <x:c r="C55" s="29" t="n">
        <x:f>(D55+E55)/2</x:f>
        <x:v>0.02031249999999999</x:v>
      </x:c>
      <x:c r="D55" s="29" t="n">
        <x:f>IF(F54&gt;$C$21,C54,D54)</x:f>
        <x:v>0.0031249999999999924</x:v>
      </x:c>
      <x:c r="E55" s="29" t="n">
        <x:f>IF(F54&gt;$C$21,E54,C54)</x:f>
        <x:v>0.03749999999999999</x:v>
      </x:c>
      <x:c r="F55" s="30" t="n">
        <x:f>SUM($E$27/(1+C55/$C$9)^$F$27,$E$28/(1+C55/$C$9)^$F$28,$E$29/(1+C55/$C$9)^$F$29,$E$30/(1+C55/$C$9)^$F$30,$E$31/(1+C55/$C$9)^$F$31)</x:f>
        <x:v>105.73649215769547</x:v>
      </x:c>
      <x:c r="G55" s="1"/>
      <x:c r="H55" s="1"/>
      <x:c r="I55" s="1"/>
      <x:c r="J55" s="1"/>
    </x:row>
    <x:row r="56" ht="23" customHeight="1">
      <x:c r="A56" s="1"/>
      <x:c r="B56" s="6" t="n">
        <x:v>6</x:v>
      </x:c>
      <x:c r="C56" s="29" t="n">
        <x:f>(D56+E56)/2</x:f>
        <x:v>0.011718749999999991</x:v>
      </x:c>
      <x:c r="D56" s="29" t="n">
        <x:f>IF(F55&gt;$C$21,C55,D55)</x:f>
        <x:v>0.0031249999999999924</x:v>
      </x:c>
      <x:c r="E56" s="29" t="n">
        <x:f>IF(F55&gt;$C$21,E55,C55)</x:f>
        <x:v>0.02031249999999999</x:v>
      </x:c>
      <x:c r="F56" s="30" t="n">
        <x:f>SUM($E$27/(1+C56/$C$9)^$F$27,$E$28/(1+C56/$C$9)^$F$28,$E$29/(1+C56/$C$9)^$F$29,$E$30/(1+C56/$C$9)^$F$30,$E$31/(1+C56/$C$9)^$F$31)</x:f>
        <x:v>107.6270883173077</x:v>
      </x:c>
      <x:c r="G56" s="1"/>
      <x:c r="H56" s="1"/>
      <x:c r="I56" s="1"/>
      <x:c r="J56" s="1"/>
    </x:row>
    <x:row r="57" ht="23" customHeight="1">
      <x:c r="A57" s="1"/>
      <x:c r="B57" s="6" t="n">
        <x:v>7</x:v>
      </x:c>
      <x:c r="C57" s="29" t="n">
        <x:f>(D57+E57)/2</x:f>
        <x:v>0.01601562499999999</x:v>
      </x:c>
      <x:c r="D57" s="29" t="n">
        <x:f>IF(F56&gt;$C$21,C56,D56)</x:f>
        <x:v>0.011718749999999991</x:v>
      </x:c>
      <x:c r="E57" s="29" t="n">
        <x:f>IF(F56&gt;$C$21,E56,C56)</x:f>
        <x:v>0.02031249999999999</x:v>
      </x:c>
      <x:c r="F57" s="30" t="n">
        <x:f>SUM($E$27/(1+C57/$C$9)^$F$27,$E$28/(1+C57/$C$9)^$F$28,$E$29/(1+C57/$C$9)^$F$29,$E$30/(1+C57/$C$9)^$F$30,$E$31/(1+C57/$C$9)^$F$31)</x:f>
        <x:v>106.67646457708264</x:v>
      </x:c>
      <x:c r="G57" s="1"/>
      <x:c r="H57" s="1"/>
      <x:c r="I57" s="1"/>
      <x:c r="J57" s="1"/>
    </x:row>
    <x:row r="58" ht="23" customHeight="1">
      <x:c r="A58" s="1"/>
      <x:c r="B58" s="6" t="n">
        <x:v>8</x:v>
      </x:c>
      <x:c r="C58" s="29" t="n">
        <x:f>(D58+E58)/2</x:f>
        <x:v>0.01816406249999999</x:v>
      </x:c>
      <x:c r="D58" s="29" t="n">
        <x:f>IF(F57&gt;$C$21,C57,D57)</x:f>
        <x:v>0.01601562499999999</x:v>
      </x:c>
      <x:c r="E58" s="29" t="n">
        <x:f>IF(F57&gt;$C$21,E57,C57)</x:f>
        <x:v>0.02031249999999999</x:v>
      </x:c>
      <x:c r="F58" s="30" t="n">
        <x:f>SUM($E$27/(1+C58/$C$9)^$F$27,$E$28/(1+C58/$C$9)^$F$28,$E$29/(1+C58/$C$9)^$F$29,$E$30/(1+C58/$C$9)^$F$30,$E$31/(1+C58/$C$9)^$F$31)</x:f>
        <x:v>106.2051558910561</x:v>
      </x:c>
      <x:c r="G58" s="1"/>
      <x:c r="H58" s="1"/>
      <x:c r="I58" s="1"/>
      <x:c r="J58" s="1"/>
    </x:row>
    <x:row r="59" ht="23" customHeight="1">
      <x:c r="A59" s="1"/>
      <x:c r="B59" s="6" t="n">
        <x:v>9</x:v>
      </x:c>
      <x:c r="C59" s="29" t="n">
        <x:f>(D59+E59)/2</x:f>
        <x:v>0.01923828124999999</x:v>
      </x:c>
      <x:c r="D59" s="29" t="n">
        <x:f>IF(F58&gt;$C$21,C58,D58)</x:f>
        <x:v>0.01816406249999999</x:v>
      </x:c>
      <x:c r="E59" s="29" t="n">
        <x:f>IF(F58&gt;$C$21,E58,C58)</x:f>
        <x:v>0.02031249999999999</x:v>
      </x:c>
      <x:c r="F59" s="30" t="n">
        <x:f>SUM($E$27/(1+C59/$C$9)^$F$27,$E$28/(1+C59/$C$9)^$F$28,$E$29/(1+C59/$C$9)^$F$29,$E$30/(1+C59/$C$9)^$F$30,$E$31/(1+C59/$C$9)^$F$31)</x:f>
        <x:v>105.97049451502794</x:v>
      </x:c>
      <x:c r="G59" s="1"/>
      <x:c r="H59" s="1"/>
      <x:c r="I59" s="1"/>
      <x:c r="J59" s="1"/>
    </x:row>
    <x:row r="60" ht="23" customHeight="1">
      <x:c r="A60" s="1"/>
      <x:c r="B60" s="6" t="n">
        <x:v>10</x:v>
      </x:c>
      <x:c r="C60" s="29" t="n">
        <x:f>(D60+E60)/2</x:f>
        <x:v>0.01870117187499999</x:v>
      </x:c>
      <x:c r="D60" s="29" t="n">
        <x:f>IF(F59&gt;$C$21,C59,D59)</x:f>
        <x:v>0.01816406249999999</x:v>
      </x:c>
      <x:c r="E60" s="29" t="n">
        <x:f>IF(F59&gt;$C$21,E59,C59)</x:f>
        <x:v>0.01923828124999999</x:v>
      </x:c>
      <x:c r="F60" s="30" t="n">
        <x:f>SUM($E$27/(1+C60/$C$9)^$F$27,$E$28/(1+C60/$C$9)^$F$28,$E$29/(1+C60/$C$9)^$F$29,$E$30/(1+C60/$C$9)^$F$30,$E$31/(1+C60/$C$9)^$F$31)</x:f>
        <x:v>106.08774268732589</x:v>
      </x:c>
      <x:c r="G60" s="1"/>
      <x:c r="H60" s="1"/>
      <x:c r="I60" s="1"/>
      <x:c r="J60" s="1"/>
    </x:row>
    <x:row r="61" ht="23" customHeight="1">
      <x:c r="A61" s="1"/>
      <x:c r="B61" s="6" t="n">
        <x:v>11</x:v>
      </x:c>
      <x:c r="C61" s="29" t="n">
        <x:f>(D61+E61)/2</x:f>
        <x:v>0.01896972656249999</x:v>
      </x:c>
      <x:c r="D61" s="29" t="n">
        <x:f>IF(F60&gt;$C$21,C60,D60)</x:f>
        <x:v>0.01870117187499999</x:v>
      </x:c>
      <x:c r="E61" s="29" t="n">
        <x:f>IF(F60&gt;$C$21,E60,C60)</x:f>
        <x:v>0.01923828124999999</x:v>
      </x:c>
      <x:c r="F61" s="30" t="n">
        <x:f>SUM($E$27/(1+C61/$C$9)^$F$27,$E$28/(1+C61/$C$9)^$F$28,$E$29/(1+C61/$C$9)^$F$29,$E$30/(1+C61/$C$9)^$F$30,$E$31/(1+C61/$C$9)^$F$31)</x:f>
        <x:v>106.0290979895663</x:v>
      </x:c>
      <x:c r="G61" s="1"/>
      <x:c r="H61" s="1"/>
      <x:c r="I61" s="1"/>
      <x:c r="J61" s="1"/>
    </x:row>
    <x:row r="62" ht="23" customHeight="1">
      <x:c r="A62" s="1"/>
      <x:c r="B62" s="6" t="n">
        <x:v>12</x:v>
      </x:c>
      <x:c r="C62" s="29" t="n">
        <x:f>(D62+E62)/2</x:f>
        <x:v>0.01910400390624999</x:v>
      </x:c>
      <x:c r="D62" s="29" t="n">
        <x:f>IF(F61&gt;$C$21,C61,D61)</x:f>
        <x:v>0.01896972656249999</x:v>
      </x:c>
      <x:c r="E62" s="29" t="n">
        <x:f>IF(F61&gt;$C$21,E61,C61)</x:f>
        <x:v>0.01923828124999999</x:v>
      </x:c>
      <x:c r="F62" s="30" t="n">
        <x:f>SUM($E$27/(1+C62/$C$9)^$F$27,$E$28/(1+C62/$C$9)^$F$28,$E$29/(1+C62/$C$9)^$F$29,$E$30/(1+C62/$C$9)^$F$30,$E$31/(1+C62/$C$9)^$F$31)</x:f>
        <x:v>105.99979110155742</x:v>
      </x:c>
      <x:c r="G62" s="1"/>
      <x:c r="H62" s="1"/>
      <x:c r="I62" s="1"/>
      <x:c r="J62" s="1"/>
    </x:row>
    <x:row r="63" ht="23" customHeight="1">
      <x:c r="A63" s="1"/>
      <x:c r="B63" s="6" t="n">
        <x:v>13</x:v>
      </x:c>
      <x:c r="C63" s="29" t="n">
        <x:f>(D63+E63)/2</x:f>
        <x:v>0.019171142578124988</x:v>
      </x:c>
      <x:c r="D63" s="29" t="n">
        <x:f>IF(F62&gt;$C$21,C62,D62)</x:f>
        <x:v>0.01910400390624999</x:v>
      </x:c>
      <x:c r="E63" s="29" t="n">
        <x:f>IF(F62&gt;$C$21,E62,C62)</x:f>
        <x:v>0.01923828124999999</x:v>
      </x:c>
      <x:c r="F63" s="30" t="n">
        <x:f>SUM($E$27/(1+C63/$C$9)^$F$27,$E$28/(1+C63/$C$9)^$F$28,$E$29/(1+C63/$C$9)^$F$29,$E$30/(1+C63/$C$9)^$F$30,$E$31/(1+C63/$C$9)^$F$31)</x:f>
        <x:v>105.98514152087802</x:v>
      </x:c>
      <x:c r="G63" s="1"/>
      <x:c r="H63" s="1"/>
      <x:c r="I63" s="1"/>
      <x:c r="J63" s="1"/>
    </x:row>
    <x:row r="64" ht="23" customHeight="1">
      <x:c r="A64" s="1"/>
      <x:c r="B64" s="6" t="n">
        <x:v>14</x:v>
      </x:c>
      <x:c r="C64" s="29" t="n">
        <x:f>(D64+E64)/2</x:f>
        <x:v>0.01913757324218749</x:v>
      </x:c>
      <x:c r="D64" s="29" t="n">
        <x:f>IF(F63&gt;$C$21,C63,D63)</x:f>
        <x:v>0.01910400390624999</x:v>
      </x:c>
      <x:c r="E64" s="29" t="n">
        <x:f>IF(F63&gt;$C$21,E63,C63)</x:f>
        <x:v>0.019171142578124988</x:v>
      </x:c>
      <x:c r="F64" s="30" t="n">
        <x:f>SUM($E$27/(1+C64/$C$9)^$F$27,$E$28/(1+C64/$C$9)^$F$28,$E$29/(1+C64/$C$9)^$F$29,$E$30/(1+C64/$C$9)^$F$30,$E$31/(1+C64/$C$9)^$F$31)</x:f>
        <x:v>105.99246598933024</x:v>
      </x:c>
      <x:c r="G64" s="1"/>
      <x:c r="H64" s="1"/>
      <x:c r="I64" s="1"/>
      <x:c r="J64" s="1"/>
    </x:row>
    <x:row r="65" ht="23" customHeight="1">
      <x:c r="A65" s="1"/>
      <x:c r="B65" s="6" t="n">
        <x:v>15</x:v>
      </x:c>
      <x:c r="C65" s="29" t="n">
        <x:f>(D65+E65)/2</x:f>
        <x:v>0.01915435791015624</x:v>
      </x:c>
      <x:c r="D65" s="29" t="n">
        <x:f>IF(F64&gt;$C$21,C64,D64)</x:f>
        <x:v>0.01913757324218749</x:v>
      </x:c>
      <x:c r="E65" s="29" t="n">
        <x:f>IF(F64&gt;$C$21,E64,C64)</x:f>
        <x:v>0.019171142578124988</x:v>
      </x:c>
      <x:c r="F65" s="30" t="n">
        <x:f>SUM($E$27/(1+C65/$C$9)^$F$27,$E$28/(1+C65/$C$9)^$F$28,$E$29/(1+C65/$C$9)^$F$29,$E$30/(1+C65/$C$9)^$F$30,$E$31/(1+C65/$C$9)^$F$31)</x:f>
        <x:v>105.98880367463653</x:v>
      </x:c>
      <x:c r="G65" s="1"/>
      <x:c r="H65" s="1"/>
      <x:c r="I65" s="1"/>
      <x:c r="J65" s="1"/>
    </x:row>
    <x:row r="66" ht="23" customHeight="1">
      <x:c r="A66" s="1"/>
      <x:c r="B66" s="6" t="n">
        <x:v>16</x:v>
      </x:c>
      <x:c r="C66" s="29" t="n">
        <x:f>(D66+E66)/2</x:f>
        <x:v>0.019162750244140613</x:v>
      </x:c>
      <x:c r="D66" s="29" t="n">
        <x:f>IF(F65&gt;$C$21,C65,D65)</x:f>
        <x:v>0.01915435791015624</x:v>
      </x:c>
      <x:c r="E66" s="29" t="n">
        <x:f>IF(F65&gt;$C$21,E65,C65)</x:f>
        <x:v>0.019171142578124988</x:v>
      </x:c>
      <x:c r="F66" s="30" t="n">
        <x:f>SUM($E$27/(1+C66/$C$9)^$F$27,$E$28/(1+C66/$C$9)^$F$28,$E$29/(1+C66/$C$9)^$F$29,$E$30/(1+C66/$C$9)^$F$30,$E$31/(1+C66/$C$9)^$F$31)</x:f>
        <x:v>105.98697257764084</x:v>
      </x:c>
      <x:c r="G66" s="1"/>
      <x:c r="H66" s="1"/>
      <x:c r="I66" s="1"/>
      <x:c r="J66" s="1"/>
    </x:row>
    <x:row r="67" ht="23" customHeight="1">
      <x:c r="A67" s="1"/>
      <x:c r="B67" s="6" t="n">
        <x:v>17</x:v>
      </x:c>
      <x:c r="C67" s="29" t="n">
        <x:f>(D67+E67)/2</x:f>
        <x:v>0.019158554077148428</x:v>
      </x:c>
      <x:c r="D67" s="29" t="n">
        <x:f>IF(F66&gt;$C$21,C66,D66)</x:f>
        <x:v>0.01915435791015624</x:v>
      </x:c>
      <x:c r="E67" s="29" t="n">
        <x:f>IF(F66&gt;$C$21,E66,C66)</x:f>
        <x:v>0.019162750244140613</x:v>
      </x:c>
      <x:c r="F67" s="30" t="n">
        <x:f>SUM($E$27/(1+C67/$C$9)^$F$27,$E$28/(1+C67/$C$9)^$F$28,$E$29/(1+C67/$C$9)^$F$29,$E$30/(1+C67/$C$9)^$F$30,$E$31/(1+C67/$C$9)^$F$31)</x:f>
        <x:v>105.98788812110948</x:v>
      </x:c>
      <x:c r="G67" s="1"/>
      <x:c r="H67" s="1"/>
      <x:c r="I67" s="1"/>
      <x:c r="J67" s="1"/>
    </x:row>
    <x:row r="68" ht="23" customHeight="1">
      <x:c r="A68" s="1"/>
      <x:c r="B68" s="6" t="n">
        <x:v>18</x:v>
      </x:c>
      <x:c r="C68" s="29" t="n">
        <x:f>(D68+E68)/2</x:f>
        <x:v>0.01916065216064452</x:v>
      </x:c>
      <x:c r="D68" s="29" t="n">
        <x:f>IF(F67&gt;$C$21,C67,D67)</x:f>
        <x:v>0.019158554077148428</x:v>
      </x:c>
      <x:c r="E68" s="29" t="n">
        <x:f>IF(F67&gt;$C$21,E67,C67)</x:f>
        <x:v>0.019162750244140613</x:v>
      </x:c>
      <x:c r="F68" s="30" t="n">
        <x:f>SUM($E$27/(1+C68/$C$9)^$F$27,$E$28/(1+C68/$C$9)^$F$28,$E$29/(1+C68/$C$9)^$F$29,$E$30/(1+C68/$C$9)^$F$30,$E$31/(1+C68/$C$9)^$F$31)</x:f>
        <x:v>105.98743034811791</x:v>
      </x:c>
      <x:c r="G68" s="1"/>
      <x:c r="H68" s="1"/>
      <x:c r="I68" s="1"/>
      <x:c r="J68" s="1"/>
    </x:row>
    <x:row r="69" ht="23" customHeight="1">
      <x:c r="A69" s="1"/>
      <x:c r="B69" s="6" t="n">
        <x:v>19</x:v>
      </x:c>
      <x:c r="C69" s="29" t="n">
        <x:f>(D69+E69)/2</x:f>
        <x:v>0.019159603118896473</x:v>
      </x:c>
      <x:c r="D69" s="29" t="n">
        <x:f>IF(F68&gt;$C$21,C68,D68)</x:f>
        <x:v>0.019158554077148428</x:v>
      </x:c>
      <x:c r="E69" s="29" t="n">
        <x:f>IF(F68&gt;$C$21,E68,C68)</x:f>
        <x:v>0.01916065216064452</x:v>
      </x:c>
      <x:c r="F69" s="30" t="n">
        <x:f>SUM($E$27/(1+C69/$C$9)^$F$27,$E$28/(1+C69/$C$9)^$F$28,$E$29/(1+C69/$C$9)^$F$29,$E$30/(1+C69/$C$9)^$F$30,$E$31/(1+C69/$C$9)^$F$31)</x:f>
        <x:v>105.98765923429943</x:v>
      </x:c>
      <x:c r="G69" s="1"/>
      <x:c r="H69" s="1"/>
      <x:c r="I69" s="1"/>
      <x:c r="J69" s="1"/>
    </x:row>
    <x:row r="70" ht="23" customHeight="1">
      <x:c r="A70" s="1"/>
      <x:c r="B70" s="6" t="n">
        <x:v>20</x:v>
      </x:c>
      <x:c r="C70" s="29" t="n">
        <x:f>(D70+E70)/2</x:f>
        <x:v>0.01915907859802245</x:v>
      </x:c>
      <x:c r="D70" s="29" t="n">
        <x:f>IF(F69&gt;$C$21,C69,D69)</x:f>
        <x:v>0.019158554077148428</x:v>
      </x:c>
      <x:c r="E70" s="29" t="n">
        <x:f>IF(F69&gt;$C$21,E69,C69)</x:f>
        <x:v>0.019159603118896473</x:v>
      </x:c>
      <x:c r="F70" s="30" t="n">
        <x:f>SUM($E$27/(1+C70/$C$9)^$F$27,$E$28/(1+C70/$C$9)^$F$28,$E$29/(1+C70/$C$9)^$F$29,$E$30/(1+C70/$C$9)^$F$30,$E$31/(1+C70/$C$9)^$F$31)</x:f>
        <x:v>105.98777367762588</x:v>
      </x:c>
      <x:c r="G70" s="1"/>
      <x:c r="H70" s="1"/>
      <x:c r="I70" s="1"/>
      <x:c r="J70" s="1"/>
    </x:row>
    <x:row r="71" ht="23" customHeight="1">
      <x:c r="A71" s="1"/>
      <x:c r="B71" s="6" t="n">
        <x:v>21</x:v>
      </x:c>
      <x:c r="C71" s="29" t="n">
        <x:f>(D71+E71)/2</x:f>
        <x:v>0.01915934085845946</x:v>
      </x:c>
      <x:c r="D71" s="29" t="n">
        <x:f>IF(F70&gt;$C$21,C70,D70)</x:f>
        <x:v>0.01915907859802245</x:v>
      </x:c>
      <x:c r="E71" s="29" t="n">
        <x:f>IF(F70&gt;$C$21,E70,C70)</x:f>
        <x:v>0.019159603118896473</x:v>
      </x:c>
      <x:c r="F71" s="30" t="n">
        <x:f>SUM($E$27/(1+C71/$C$9)^$F$27,$E$28/(1+C71/$C$9)^$F$28,$E$29/(1+C71/$C$9)^$F$29,$E$30/(1+C71/$C$9)^$F$30,$E$31/(1+C71/$C$9)^$F$31)</x:f>
        <x:v>105.987716455943</x:v>
      </x:c>
      <x:c r="G71" s="1"/>
      <x:c r="H71" s="1"/>
      <x:c r="I71" s="1"/>
      <x:c r="J71" s="1"/>
    </x:row>
    <x:row r="72" ht="23" customHeight="1">
      <x:c r="A72" s="1"/>
      <x:c r="B72" s="6" t="n">
        <x:v>22</x:v>
      </x:c>
      <x:c r="C72" s="29" t="n">
        <x:f>(D72+E72)/2</x:f>
        <x:v>0.019159209728240957</x:v>
      </x:c>
      <x:c r="D72" s="29" t="n">
        <x:f>IF(F71&gt;$C$21,C71,D71)</x:f>
        <x:v>0.01915907859802245</x:v>
      </x:c>
      <x:c r="E72" s="29" t="n">
        <x:f>IF(F71&gt;$C$21,E71,C71)</x:f>
        <x:v>0.01915934085845946</x:v>
      </x:c>
      <x:c r="F72" s="30" t="n">
        <x:f>SUM($E$27/(1+C72/$C$9)^$F$27,$E$28/(1+C72/$C$9)^$F$28,$E$29/(1+C72/$C$9)^$F$29,$E$30/(1+C72/$C$9)^$F$30,$E$31/(1+C72/$C$9)^$F$31)</x:f>
        <x:v>105.98774506677948</x:v>
      </x:c>
      <x:c r="G72" s="1"/>
      <x:c r="H72" s="1"/>
      <x:c r="I72" s="1"/>
      <x:c r="J72" s="1"/>
    </x:row>
    <x:row r="73" ht="23" customHeight="1">
      <x:c r="A73" s="1"/>
      <x:c r="B73" s="6" t="n">
        <x:v>23</x:v>
      </x:c>
      <x:c r="C73" s="29" t="n">
        <x:f>(D73+E73)/2</x:f>
        <x:v>0.01915927529335021</x:v>
      </x:c>
      <x:c r="D73" s="29" t="n">
        <x:f>IF(F72&gt;$C$21,C72,D72)</x:f>
        <x:v>0.019159209728240957</x:v>
      </x:c>
      <x:c r="E73" s="29" t="n">
        <x:f>IF(F72&gt;$C$21,E72,C72)</x:f>
        <x:v>0.01915934085845946</x:v>
      </x:c>
      <x:c r="F73" s="30" t="n">
        <x:f>SUM($E$27/(1+C73/$C$9)^$F$27,$E$28/(1+C73/$C$9)^$F$28,$E$29/(1+C73/$C$9)^$F$29,$E$30/(1+C73/$C$9)^$F$30,$E$31/(1+C73/$C$9)^$F$31)</x:f>
        <x:v>105.98773076136007</x:v>
      </x:c>
      <x:c r="G73" s="1"/>
      <x:c r="H73" s="1"/>
      <x:c r="I73" s="1"/>
      <x:c r="J73" s="1"/>
    </x:row>
    <x:row r="74" ht="23" customHeight="1">
      <x:c r="A74" s="1"/>
      <x:c r="B74" s="6" t="n">
        <x:v>24</x:v>
      </x:c>
      <x:c r="C74" s="29" t="n">
        <x:f>(D74+E74)/2</x:f>
        <x:v>0.019159308075904834</x:v>
      </x:c>
      <x:c r="D74" s="29" t="n">
        <x:f>IF(F73&gt;$C$21,C73,D73)</x:f>
        <x:v>0.01915927529335021</x:v>
      </x:c>
      <x:c r="E74" s="29" t="n">
        <x:f>IF(F73&gt;$C$21,E73,C73)</x:f>
        <x:v>0.01915934085845946</x:v>
      </x:c>
      <x:c r="F74" s="30" t="n">
        <x:f>SUM($E$27/(1+C74/$C$9)^$F$27,$E$28/(1+C74/$C$9)^$F$28,$E$29/(1+C74/$C$9)^$F$29,$E$30/(1+C74/$C$9)^$F$30,$E$31/(1+C74/$C$9)^$F$31)</x:f>
        <x:v>105.98772360865118</x:v>
      </x:c>
      <x:c r="G74" s="1"/>
      <x:c r="H74" s="1"/>
      <x:c r="I74" s="1"/>
      <x:c r="J74" s="1"/>
    </x:row>
    <x:row r="75" ht="23" customHeight="1">
      <x:c r="A75" s="1"/>
      <x:c r="B75" s="6" t="n">
        <x:v>25</x:v>
      </x:c>
      <x:c r="C75" s="29" t="n">
        <x:f>(D75+E75)/2</x:f>
        <x:v>0.019159291684627523</x:v>
      </x:c>
      <x:c r="D75" s="29" t="n">
        <x:f>IF(F74&gt;$C$21,C74,D74)</x:f>
        <x:v>0.01915927529335021</x:v>
      </x:c>
      <x:c r="E75" s="29" t="n">
        <x:f>IF(F74&gt;$C$21,E74,C74)</x:f>
        <x:v>0.019159308075904834</x:v>
      </x:c>
      <x:c r="F75" s="30" t="n">
        <x:f>SUM($E$27/(1+C75/$C$9)^$F$27,$E$28/(1+C75/$C$9)^$F$28,$E$29/(1+C75/$C$9)^$F$29,$E$30/(1+C75/$C$9)^$F$30,$E$31/(1+C75/$C$9)^$F$31)</x:f>
        <x:v>105.9877271850055</x:v>
      </x:c>
      <x:c r="G75" s="1"/>
      <x:c r="H75" s="1"/>
      <x:c r="I75" s="1"/>
      <x:c r="J75" s="1"/>
    </x:row>
    <x:row r="76" ht="23" customHeight="1">
      <x:c r="A76" s="1"/>
      <x:c r="B76" s="6" t="n">
        <x:v>26</x:v>
      </x:c>
      <x:c r="C76" s="29" t="n">
        <x:f>(D76+E76)/2</x:f>
        <x:v>0.019159299880266177</x:v>
      </x:c>
      <x:c r="D76" s="29" t="n">
        <x:f>IF(F75&gt;$C$21,C75,D75)</x:f>
        <x:v>0.019159291684627523</x:v>
      </x:c>
      <x:c r="E76" s="29" t="n">
        <x:f>IF(F75&gt;$C$21,E75,C75)</x:f>
        <x:v>0.019159308075904834</x:v>
      </x:c>
      <x:c r="F76" s="30" t="n">
        <x:f>SUM($E$27/(1+C76/$C$9)^$F$27,$E$28/(1+C76/$C$9)^$F$28,$E$29/(1+C76/$C$9)^$F$29,$E$30/(1+C76/$C$9)^$F$30,$E$31/(1+C76/$C$9)^$F$31)</x:f>
        <x:v>105.98772539682837</x:v>
      </x:c>
      <x:c r="G76" s="1"/>
      <x:c r="H76" s="1"/>
      <x:c r="I76" s="1"/>
      <x:c r="J76" s="1"/>
    </x:row>
    <x:row r="77" ht="23" customHeight="1">
      <x:c r="A77" s="1"/>
      <x:c r="B77" s="6" t="n">
        <x:v>27</x:v>
      </x:c>
      <x:c r="C77" s="29" t="n">
        <x:f>(D77+E77)/2</x:f>
        <x:v>0.019159303978085504</x:v>
      </x:c>
      <x:c r="D77" s="29" t="n">
        <x:f>IF(F76&gt;$C$21,C76,D76)</x:f>
        <x:v>0.019159299880266177</x:v>
      </x:c>
      <x:c r="E77" s="29" t="n">
        <x:f>IF(F76&gt;$C$21,E76,C76)</x:f>
        <x:v>0.019159308075904834</x:v>
      </x:c>
      <x:c r="F77" s="30" t="n">
        <x:f>SUM($E$27/(1+C77/$C$9)^$F$27,$E$28/(1+C77/$C$9)^$F$28,$E$29/(1+C77/$C$9)^$F$29,$E$30/(1+C77/$C$9)^$F$30,$E$31/(1+C77/$C$9)^$F$31)</x:f>
        <x:v>105.98772450273975</x:v>
      </x:c>
      <x:c r="G77" s="1"/>
      <x:c r="H77" s="1"/>
      <x:c r="I77" s="1"/>
      <x:c r="J77" s="1"/>
    </x:row>
    <x:row r="78" ht="23" customHeight="1">
      <x:c r="A78" s="1"/>
      <x:c r="B78" s="6" t="n">
        <x:v>28</x:v>
      </x:c>
      <x:c r="C78" s="29" t="n">
        <x:f>(D78+E78)/2</x:f>
        <x:v>0.01915930602699517</x:v>
      </x:c>
      <x:c r="D78" s="29" t="n">
        <x:f>IF(F77&gt;$C$21,C77,D77)</x:f>
        <x:v>0.019159303978085504</x:v>
      </x:c>
      <x:c r="E78" s="29" t="n">
        <x:f>IF(F77&gt;$C$21,E77,C77)</x:f>
        <x:v>0.019159308075904834</x:v>
      </x:c>
      <x:c r="F78" s="30" t="n">
        <x:f>SUM($E$27/(1+C78/$C$9)^$F$27,$E$28/(1+C78/$C$9)^$F$28,$E$29/(1+C78/$C$9)^$F$29,$E$30/(1+C78/$C$9)^$F$30,$E$31/(1+C78/$C$9)^$F$31)</x:f>
        <x:v>105.98772405569552</x:v>
      </x:c>
      <x:c r="G78" s="1"/>
      <x:c r="H78" s="1"/>
      <x:c r="I78" s="1"/>
      <x:c r="J78" s="1"/>
    </x:row>
    <x:row r="79" ht="23" customHeight="1">
      <x:c r="A79" s="1"/>
      <x:c r="B79" s="6" t="n">
        <x:v>29</x:v>
      </x:c>
      <x:c r="C79" s="29" t="n">
        <x:f>(D79+E79)/2</x:f>
        <x:v>0.019159307051450004</x:v>
      </x:c>
      <x:c r="D79" s="29" t="n">
        <x:f>IF(F78&gt;$C$21,C78,D78)</x:f>
        <x:v>0.01915930602699517</x:v>
      </x:c>
      <x:c r="E79" s="29" t="n">
        <x:f>IF(F78&gt;$C$21,E78,C78)</x:f>
        <x:v>0.019159308075904834</x:v>
      </x:c>
      <x:c r="F79" s="30" t="n">
        <x:f>SUM($E$27/(1+C79/$C$9)^$F$27,$E$28/(1+C79/$C$9)^$F$28,$E$29/(1+C79/$C$9)^$F$29,$E$30/(1+C79/$C$9)^$F$30,$E$31/(1+C79/$C$9)^$F$31)</x:f>
        <x:v>105.9877238321733</x:v>
      </x:c>
      <x:c r="G79" s="1"/>
      <x:c r="H79" s="1"/>
      <x:c r="I79" s="1"/>
      <x:c r="J79" s="1"/>
    </x:row>
    <x:row r="80" ht="23" customHeight="1">
      <x:c r="A80" s="1"/>
      <x:c r="B80" s="6" t="n">
        <x:v>30</x:v>
      </x:c>
      <x:c r="C80" s="29" t="n">
        <x:f>(D80+E80)/2</x:f>
        <x:v>0.019159307563677418</x:v>
      </x:c>
      <x:c r="D80" s="29" t="n">
        <x:f>IF(F79&gt;$C$21,C79,D79)</x:f>
        <x:v>0.019159307051450004</x:v>
      </x:c>
      <x:c r="E80" s="29" t="n">
        <x:f>IF(F79&gt;$C$21,E79,C79)</x:f>
        <x:v>0.019159308075904834</x:v>
      </x:c>
      <x:c r="F80" s="30" t="n">
        <x:f>SUM($E$27/(1+C80/$C$9)^$F$27,$E$28/(1+C80/$C$9)^$F$28,$E$29/(1+C80/$C$9)^$F$29,$E$30/(1+C80/$C$9)^$F$30,$E$31/(1+C80/$C$9)^$F$31)</x:f>
        <x:v>105.98772372041229</x:v>
      </x:c>
      <x:c r="G80" s="1"/>
      <x:c r="H80" s="1"/>
      <x:c r="I80" s="1"/>
      <x:c r="J80" s="1"/>
    </x:row>
    <x:row r="81" ht="23" customHeight="1">
      <x:c r="A81" s="1"/>
      <x:c r="B81" s="6" t="n">
        <x:v>31</x:v>
      </x:c>
      <x:c r="C81" s="29" t="n">
        <x:f>(D81+E81)/2</x:f>
        <x:v>0.01915930730756371</x:v>
      </x:c>
      <x:c r="D81" s="29" t="n">
        <x:f>IF(F80&gt;$C$21,C80,D80)</x:f>
        <x:v>0.019159307051450004</x:v>
      </x:c>
      <x:c r="E81" s="29" t="n">
        <x:f>IF(F80&gt;$C$21,E80,C80)</x:f>
        <x:v>0.019159307563677418</x:v>
      </x:c>
      <x:c r="F81" s="30" t="n">
        <x:f>SUM($E$27/(1+C81/$C$9)^$F$27,$E$28/(1+C81/$C$9)^$F$28,$E$29/(1+C81/$C$9)^$F$29,$E$30/(1+C81/$C$9)^$F$30,$E$31/(1+C81/$C$9)^$F$31)</x:f>
        <x:v>105.98772377629284</x:v>
      </x:c>
      <x:c r="G81" s="1"/>
      <x:c r="H81" s="1"/>
      <x:c r="I81" s="1"/>
      <x:c r="J81" s="1"/>
    </x:row>
    <x:row r="82" ht="23" customHeight="1">
      <x:c r="A82" s="1"/>
      <x:c r="B82" s="6" t="n">
        <x:v>32</x:v>
      </x:c>
      <x:c r="C82" s="29" t="n">
        <x:f>(D82+E82)/2</x:f>
        <x:v>0.019159307435620564</x:v>
      </x:c>
      <x:c r="D82" s="29" t="n">
        <x:f>IF(F81&gt;$C$21,C81,D81)</x:f>
        <x:v>0.01915930730756371</x:v>
      </x:c>
      <x:c r="E82" s="29" t="n">
        <x:f>IF(F81&gt;$C$21,E81,C81)</x:f>
        <x:v>0.019159307563677418</x:v>
      </x:c>
      <x:c r="F82" s="30" t="n">
        <x:f>SUM($E$27/(1+C82/$C$9)^$F$27,$E$28/(1+C82/$C$9)^$F$28,$E$29/(1+C82/$C$9)^$F$29,$E$30/(1+C82/$C$9)^$F$30,$E$31/(1+C82/$C$9)^$F$31)</x:f>
        <x:v>105.98772374835252</x:v>
      </x:c>
      <x:c r="G82" s="1"/>
      <x:c r="H82" s="1"/>
      <x:c r="I82" s="1"/>
      <x:c r="J82" s="1"/>
    </x:row>
    <x:row r="83" ht="23" customHeight="1">
      <x:c r="A83" s="1"/>
      <x:c r="B83" s="6" t="n">
        <x:v>33</x:v>
      </x:c>
      <x:c r="C83" s="29" t="n">
        <x:f>(D83+E83)/2</x:f>
        <x:v>0.01915930737159214</x:v>
      </x:c>
      <x:c r="D83" s="29" t="n">
        <x:f>IF(F82&gt;$C$21,C82,D82)</x:f>
        <x:v>0.01915930730756371</x:v>
      </x:c>
      <x:c r="E83" s="29" t="n">
        <x:f>IF(F82&gt;$C$21,E82,C82)</x:f>
        <x:v>0.019159307435620564</x:v>
      </x:c>
      <x:c r="F83" s="30" t="n">
        <x:f>SUM($E$27/(1+C83/$C$9)^$F$27,$E$28/(1+C83/$C$9)^$F$28,$E$29/(1+C83/$C$9)^$F$29,$E$30/(1+C83/$C$9)^$F$30,$E$31/(1+C83/$C$9)^$F$31)</x:f>
        <x:v>105.98772376232263</x:v>
      </x:c>
      <x:c r="G83" s="1"/>
      <x:c r="H83" s="1"/>
      <x:c r="I83" s="1"/>
      <x:c r="J83" s="1"/>
    </x:row>
    <x:row r="84" ht="23" customHeight="1">
      <x:c r="A84" s="1"/>
      <x:c r="B84" s="6" t="n">
        <x:v>34</x:v>
      </x:c>
      <x:c r="C84" s="29" t="n">
        <x:f>(D84+E84)/2</x:f>
        <x:v>0.01915930740360635</x:v>
      </x:c>
      <x:c r="D84" s="29" t="n">
        <x:f>IF(F83&gt;$C$21,C83,D83)</x:f>
        <x:v>0.01915930737159214</x:v>
      </x:c>
      <x:c r="E84" s="29" t="n">
        <x:f>IF(F83&gt;$C$21,E83,C83)</x:f>
        <x:v>0.019159307435620564</x:v>
      </x:c>
      <x:c r="F84" s="30" t="n">
        <x:f>SUM($E$27/(1+C84/$C$9)^$F$27,$E$28/(1+C84/$C$9)^$F$28,$E$29/(1+C84/$C$9)^$F$29,$E$30/(1+C84/$C$9)^$F$30,$E$31/(1+C84/$C$9)^$F$31)</x:f>
        <x:v>105.98772375533761</x:v>
      </x:c>
      <x:c r="G84" s="1"/>
      <x:c r="H84" s="1"/>
      <x:c r="I84" s="1"/>
      <x:c r="J84" s="1"/>
    </x:row>
    <x:row r="85" ht="23" customHeight="1">
      <x:c r="A85" s="1"/>
      <x:c r="B85" s="6" t="n">
        <x:v>35</x:v>
      </x:c>
      <x:c r="C85" s="29" t="n">
        <x:f>(D85+E85)/2</x:f>
        <x:v>0.019159307387599245</x:v>
      </x:c>
      <x:c r="D85" s="29" t="n">
        <x:f>IF(F84&gt;$C$21,C84,D84)</x:f>
        <x:v>0.01915930737159214</x:v>
      </x:c>
      <x:c r="E85" s="29" t="n">
        <x:f>IF(F84&gt;$C$21,E84,C84)</x:f>
        <x:v>0.01915930740360635</x:v>
      </x:c>
      <x:c r="F85" s="30" t="n">
        <x:f>SUM($E$27/(1+C85/$C$9)^$F$27,$E$28/(1+C85/$C$9)^$F$28,$E$29/(1+C85/$C$9)^$F$29,$E$30/(1+C85/$C$9)^$F$30,$E$31/(1+C85/$C$9)^$F$31)</x:f>
        <x:v>105.98772375883017</x:v>
      </x:c>
      <x:c r="G85" s="1"/>
      <x:c r="H85" s="1"/>
      <x:c r="I85" s="1"/>
      <x:c r="J85" s="1"/>
    </x:row>
    <x:row r="86" ht="23" customHeight="1">
      <x:c r="A86" s="1"/>
      <x:c r="B86" s="6" t="n">
        <x:v>36</x:v>
      </x:c>
      <x:c r="C86" s="29" t="n">
        <x:f>(D86+E86)/2</x:f>
        <x:v>0.019159307395602797</x:v>
      </x:c>
      <x:c r="D86" s="29" t="n">
        <x:f>IF(F85&gt;$C$21,C85,D85)</x:f>
        <x:v>0.019159307387599245</x:v>
      </x:c>
      <x:c r="E86" s="29" t="n">
        <x:f>IF(F85&gt;$C$21,E85,C85)</x:f>
        <x:v>0.01915930740360635</x:v>
      </x:c>
      <x:c r="F86" s="30" t="n">
        <x:f>SUM($E$27/(1+C86/$C$9)^$F$27,$E$28/(1+C86/$C$9)^$F$28,$E$29/(1+C86/$C$9)^$F$29,$E$30/(1+C86/$C$9)^$F$30,$E$31/(1+C86/$C$9)^$F$31)</x:f>
        <x:v>105.98772375708384</x:v>
      </x:c>
      <x:c r="G86" s="1"/>
      <x:c r="H86" s="1"/>
      <x:c r="I86" s="1"/>
      <x:c r="J86" s="1"/>
    </x:row>
    <x:row r="87" ht="23" customHeight="1">
      <x:c r="A87" s="1"/>
      <x:c r="B87" s="6" t="n">
        <x:v>37</x:v>
      </x:c>
      <x:c r="C87" s="29" t="n">
        <x:f>(D87+E87)/2</x:f>
        <x:v>0.019159307399604572</x:v>
      </x:c>
      <x:c r="D87" s="29" t="n">
        <x:f>IF(F86&gt;$C$21,C86,D86)</x:f>
        <x:v>0.019159307395602797</x:v>
      </x:c>
      <x:c r="E87" s="29" t="n">
        <x:f>IF(F86&gt;$C$21,E86,C86)</x:f>
        <x:v>0.01915930740360635</x:v>
      </x:c>
      <x:c r="F87" s="30" t="n">
        <x:f>SUM($E$27/(1+C87/$C$9)^$F$27,$E$28/(1+C87/$C$9)^$F$28,$E$29/(1+C87/$C$9)^$F$29,$E$30/(1+C87/$C$9)^$F$30,$E$31/(1+C87/$C$9)^$F$31)</x:f>
        <x:v>105.98772375621073</x:v>
      </x:c>
      <x:c r="G87" s="1"/>
      <x:c r="H87" s="1"/>
      <x:c r="I87" s="1"/>
      <x:c r="J87" s="1"/>
    </x:row>
    <x:row r="88" ht="23" customHeight="1">
      <x:c r="A88" s="1"/>
      <x:c r="B88" s="6" t="n">
        <x:v>38</x:v>
      </x:c>
      <x:c r="C88" s="29" t="n">
        <x:f>(D88+E88)/2</x:f>
        <x:v>0.019159307397603687</x:v>
      </x:c>
      <x:c r="D88" s="29" t="n">
        <x:f>IF(F87&gt;$C$21,C87,D87)</x:f>
        <x:v>0.019159307395602797</x:v>
      </x:c>
      <x:c r="E88" s="29" t="n">
        <x:f>IF(F87&gt;$C$21,E87,C87)</x:f>
        <x:v>0.019159307399604572</x:v>
      </x:c>
      <x:c r="F88" s="30" t="n">
        <x:f>SUM($E$27/(1+C88/$C$9)^$F$27,$E$28/(1+C88/$C$9)^$F$28,$E$29/(1+C88/$C$9)^$F$29,$E$30/(1+C88/$C$9)^$F$30,$E$31/(1+C88/$C$9)^$F$31)</x:f>
        <x:v>105.98772375664734</x:v>
      </x:c>
      <x:c r="G88" s="1"/>
      <x:c r="H88" s="1"/>
      <x:c r="I88" s="1"/>
      <x:c r="J88" s="1"/>
    </x:row>
    <x:row r="89" ht="23" customHeight="1">
      <x:c r="A89" s="1"/>
      <x:c r="B89" s="6" t="n">
        <x:v>39</x:v>
      </x:c>
      <x:c r="C89" s="29" t="n">
        <x:f>(D89+E89)/2</x:f>
        <x:v>0.019159307396603244</x:v>
      </x:c>
      <x:c r="D89" s="29" t="n">
        <x:f>IF(F88&gt;$C$21,C88,D88)</x:f>
        <x:v>0.019159307395602797</x:v>
      </x:c>
      <x:c r="E89" s="29" t="n">
        <x:f>IF(F88&gt;$C$21,E88,C88)</x:f>
        <x:v>0.019159307397603687</x:v>
      </x:c>
      <x:c r="F89" s="30" t="n">
        <x:f>SUM($E$27/(1+C89/$C$9)^$F$27,$E$28/(1+C89/$C$9)^$F$28,$E$29/(1+C89/$C$9)^$F$29,$E$30/(1+C89/$C$9)^$F$30,$E$31/(1+C89/$C$9)^$F$31)</x:f>
        <x:v>105.98772375686555</x:v>
      </x:c>
      <x:c r="G89" s="1"/>
      <x:c r="H89" s="1"/>
      <x:c r="I89" s="1"/>
      <x:c r="J89" s="1"/>
    </x:row>
    <x:row r="90" ht="23" customHeight="1">
      <x:c r="A90" s="1"/>
      <x:c r="B90" s="6" t="n">
        <x:v>40</x:v>
      </x:c>
      <x:c r="C90" s="29" t="n">
        <x:f>(D90+E90)/2</x:f>
        <x:v>0.01915930739610302</x:v>
      </x:c>
      <x:c r="D90" s="29" t="n">
        <x:f>IF(F89&gt;$C$21,C89,D89)</x:f>
        <x:v>0.019159307395602797</x:v>
      </x:c>
      <x:c r="E90" s="29" t="n">
        <x:f>IF(F89&gt;$C$21,E89,C89)</x:f>
        <x:v>0.019159307396603244</x:v>
      </x:c>
      <x:c r="F90" s="30" t="n">
        <x:f>SUM($E$27/(1+C90/$C$9)^$F$27,$E$28/(1+C90/$C$9)^$F$28,$E$29/(1+C90/$C$9)^$F$29,$E$30/(1+C90/$C$9)^$F$30,$E$31/(1+C90/$C$9)^$F$31)</x:f>
        <x:v>105.98772375697475</x:v>
      </x:c>
      <x:c r="G90" s="1"/>
      <x:c r="H90" s="1"/>
      <x:c r="I90" s="1"/>
      <x:c r="J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23" customHeight="1">
      <x:c r="A94" s="1"/>
      <x:c r="B94" s="37" t="str">
        <x:v>https://www.sse.com.cn/aboutus/publication/yearly/documents/c/10061082/files/a21d89f75cc64fb5bbcabeb3fdc84ee9.pdf</x:v>
      </x:c>
      <x:c r="C94" s="37"/>
      <x:c r="D94" s="37"/>
      <x:c r="E94" s="37"/>
      <x:c r="F94" s="37"/>
      <x:c r="G94" s="37"/>
      <x:c r="H94" s="37"/>
      <x:c r="I94" s="37"/>
      <x:c r="J94" s="37"/>
    </x:row>
    <x:row r="95" ht="23" customHeight="1">
      <x:c r="A95" s="1"/>
      <x:c r="B95" s="37"/>
      <x:c r="C95" s="37"/>
      <x:c r="D95" s="37"/>
      <x:c r="E95" s="37"/>
      <x:c r="F95" s="37"/>
      <x:c r="G95" s="37"/>
      <x:c r="H95" s="37"/>
      <x:c r="I95" s="37"/>
      <x:c r="J95" s="37"/>
    </x:row>
    <x:row r="96" ht="23" customHeight="1">
      <x:c r="A96" s="1"/>
      <x:c r="B96" s="37"/>
      <x:c r="C96" s="37"/>
      <x:c r="D96" s="37"/>
      <x:c r="E96" s="37"/>
      <x:c r="F96" s="37"/>
      <x:c r="G96" s="37"/>
      <x:c r="H96" s="37"/>
      <x:c r="I96" s="37"/>
      <x:c r="J96" s="37"/>
    </x:row>
    <x:row r="97" ht="23" customHeight="1">
      <x:c r="A97" s="1"/>
      <x:c r="B97" s="37"/>
      <x:c r="C97" s="37"/>
      <x:c r="D97" s="37"/>
      <x:c r="E97" s="37"/>
      <x:c r="F97" s="37"/>
      <x:c r="G97" s="37"/>
      <x:c r="H97" s="37"/>
      <x:c r="I97" s="37"/>
      <x:c r="J97" s="37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</x:sheetData>
  <x:mergeCells>
    <x:mergeCell ref="H8:J10"/>
    <x:mergeCell ref="H12:J14"/>
    <x:mergeCell ref="H16:J18"/>
    <x:mergeCell ref="H20:J22"/>
    <x:mergeCell ref="H26:J28"/>
    <x:mergeCell ref="H30:J32"/>
    <x:mergeCell ref="H34:J36"/>
    <x:mergeCell ref="H38:J40"/>
    <x:mergeCell ref="H42:J44"/>
    <x:mergeCell ref="B94:J97"/>
  </x:mergeCells>
  <x:dataValidations count="1">
    <x:dataValidation type="list" sqref="C11">
      <x:formula1>"Clean,Full"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1"/>
      <x:c r="B2" s="3" t="str">
        <x:v>018020 — CDB 2302</x:v>
      </x:c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5" t="str">
        <x:v>RMB per 100 face value. Contractual coupon dates; pre-tax returns.</x:v>
      </x:c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0" t="str">
        <x:v>Reconstructed nominal YTM</x:v>
      </x:c>
      <x:c r="C5" s="12" t="n">
        <x:f>IF(AND(COUNT(C10)=1,C10&gt;0,OR(C11="Clean",C11="Full"),C12&gt;=C13,C12&lt;C14,C9&gt;0,C18&gt;0),IF(AND(SUM($E$27/(1+(-0.1)/$C$9)^$F$27,$E$28/(1+(-0.1)/$C$9)^$F$28,$E$29/(1+(-0.1)/$C$9)^$F$29)&gt;=C21,SUM($E$27/(1+(1)/$C$9)^$F$27,$E$28/(1+(1)/$C$9)^$F$28,$E$29/(1+(1)/$C$9)^$F$29)&lt;=C21),(D90+E90)/2,"n.a."),"n.a.")</x:f>
        <x:v>0.025948738597116956</x:v>
      </x:c>
      <x:c r="D5" s="1"/>
      <x:c r="E5" s="1"/>
      <x:c r="F5" s="1"/>
      <x:c r="G5" s="1"/>
      <x:c r="H5" s="1"/>
      <x:c r="I5" s="1"/>
      <x:c r="J5" s="1"/>
    </x:row>
    <x:row r="6" ht="23" customHeight="1">
      <x:c r="A6" s="1"/>
      <x:c r="B6" s="10" t="str">
        <x:v>Effective annual yield</x:v>
      </x:c>
      <x:c r="C6" s="12" t="n">
        <x:f>IF(ISNUMBER(C5),(1+C5/C9)^C9-1,"n.a.")</x:f>
        <x:v>0.025948738597116883</x:v>
      </x:c>
      <x:c r="D6" s="1"/>
      <x:c r="E6" s="1"/>
      <x:c r="F6" s="1"/>
      <x:c r="G6" s="1"/>
      <x:c r="H6" s="1"/>
      <x:c r="I6" s="1"/>
      <x:c r="J6" s="1"/>
    </x:row>
    <x:row r="7" ht="23" customHeight="1">
      <x:c r="A7" s="1"/>
      <x:c r="B7" s="1"/>
      <x:c r="C7" s="13"/>
      <x:c r="D7" s="1"/>
      <x:c r="E7" s="1"/>
      <x:c r="F7" s="1"/>
      <x:c r="G7" s="1"/>
      <x:c r="H7" s="1"/>
      <x:c r="I7" s="1"/>
      <x:c r="J7" s="1"/>
    </x:row>
    <x:row r="8" ht="23" customHeight="1">
      <x:c r="A8" s="1"/>
      <x:c r="B8" s="1" t="str">
        <x:v>Annual coupon rate</x:v>
      </x:c>
      <x:c r="C8" s="14" t="n">
        <x:v>0.0258</x:v>
      </x:c>
      <x:c r="D8" s="1"/>
      <x:c r="E8" s="1"/>
      <x:c r="F8" s="1"/>
      <x:c r="G8" s="1"/>
      <x:c r="H8" s="28" t="str">
        <x:v>SSE listing notice, 28 Feb 2023, p.1; code 018020.</x:v>
      </x:c>
      <x:c r="I8" s="28"/>
      <x:c r="J8" s="28"/>
    </x:row>
    <x:row r="9" ht="23" customHeight="1">
      <x:c r="A9" s="1"/>
      <x:c r="B9" s="1" t="str">
        <x:v>Coupons per year</x:v>
      </x:c>
      <x:c r="C9" s="15" t="n">
        <x:v>1</x:v>
      </x:c>
      <x:c r="D9" s="1"/>
      <x:c r="E9" s="1"/>
      <x:c r="F9" s="1"/>
      <x:c r="G9" s="1"/>
      <x:c r="H9" s="28"/>
      <x:c r="I9" s="28"/>
      <x:c r="J9" s="28"/>
    </x:row>
    <x:row r="10" ht="23" customHeight="1">
      <x:c r="A10" s="1"/>
      <x:c r="B10" s="1" t="str">
        <x:v>Quoted price</x:v>
      </x:c>
      <x:c r="C10" s="16" t="n">
        <x:v>99.957</x:v>
      </x:c>
      <x:c r="D10" s="1"/>
      <x:c r="E10" s="1"/>
      <x:c r="F10" s="1"/>
      <x:c r="G10" s="1"/>
      <x:c r="H10" s="28"/>
      <x:c r="I10" s="28"/>
      <x:c r="J10" s="28"/>
    </x:row>
    <x:row r="11" ht="23" customHeight="1">
      <x:c r="A11" s="1"/>
      <x:c r="B11" s="1" t="str">
        <x:v>Price basis</x:v>
      </x:c>
      <x:c r="C11" s="1" t="str">
        <x:v>Clean</x:v>
      </x:c>
      <x:c r="D11" s="1"/>
      <x:c r="E11" s="1"/>
      <x:c r="F11" s="1"/>
      <x:c r="G11" s="1"/>
      <x:c r="H11" s="1"/>
      <x:c r="I11" s="1"/>
      <x:c r="J11" s="1"/>
    </x:row>
    <x:row r="12" ht="23" customHeight="1">
      <x:c r="A12" s="1"/>
      <x:c r="B12" s="1" t="str">
        <x:v>Model settlement date</x:v>
      </x:c>
      <x:c r="C12" s="17" t="n">
        <x:v>44998</x:v>
      </x:c>
      <x:c r="D12" s="1"/>
      <x:c r="E12" s="1"/>
      <x:c r="F12" s="1"/>
      <x:c r="G12" s="1"/>
      <x:c r="H12" s="28" t="str">
        <x:v>Settlement: 13 Mar 2023, assumed equal to observation date.</x:v>
      </x:c>
      <x:c r="I12" s="28"/>
      <x:c r="J12" s="28"/>
    </x:row>
    <x:row r="13" ht="23" customHeight="1">
      <x:c r="A13" s="1"/>
      <x:c r="B13" s="1" t="str">
        <x:v>Previous coupon date</x:v>
      </x:c>
      <x:c r="C13" s="17" t="n">
        <x:v>44986</x:v>
      </x:c>
      <x:c r="D13" s="1"/>
      <x:c r="E13" s="1"/>
      <x:c r="F13" s="1"/>
      <x:c r="G13" s="1"/>
      <x:c r="H13" s="28"/>
      <x:c r="I13" s="28"/>
      <x:c r="J13" s="28"/>
    </x:row>
    <x:row r="14" ht="23" customHeight="1">
      <x:c r="A14" s="1"/>
      <x:c r="B14" s="1" t="str">
        <x:v>Next coupon date</x:v>
      </x:c>
      <x:c r="C14" s="18" t="n">
        <x:f>B27</x:f>
        <x:v>45352</x:v>
      </x:c>
      <x:c r="D14" s="1"/>
      <x:c r="E14" s="1"/>
      <x:c r="F14" s="1"/>
      <x:c r="G14" s="1"/>
      <x:c r="H14" s="28"/>
      <x:c r="I14" s="28"/>
      <x:c r="J14" s="28"/>
    </x:row>
    <x:row r="15" ht="23" customHeight="1">
      <x:c r="A15" s="1"/>
      <x:c r="B15" s="1" t="str">
        <x:v>Contractual maturity</x:v>
      </x:c>
      <x:c r="C15" s="18" t="n">
        <x:f>B29</x:f>
        <x:v>46082</x:v>
      </x:c>
      <x:c r="D15" s="1"/>
      <x:c r="E15" s="1"/>
      <x:c r="F15" s="1"/>
      <x:c r="G15" s="1"/>
      <x:c r="H15" s="1"/>
      <x:c r="I15" s="1"/>
      <x:c r="J15" s="1"/>
    </x:row>
    <x:row r="16" ht="23" customHeight="1">
      <x:c r="A16" s="1"/>
      <x:c r="B16" s="1" t="str">
        <x:v>Coupon-period days</x:v>
      </x:c>
      <x:c r="C16" s="19" t="n">
        <x:f>C14-C13</x:f>
        <x:v>366</x:v>
      </x:c>
      <x:c r="D16" s="1"/>
      <x:c r="E16" s="1"/>
      <x:c r="F16" s="1"/>
      <x:c r="G16" s="1"/>
      <x:c r="H16" s="28" t="str">
        <x:v>PBOC 2007 formula attachment, printed p.4: actual coupon-period days.</x:v>
      </x:c>
      <x:c r="I16" s="28"/>
      <x:c r="J16" s="28"/>
    </x:row>
    <x:row r="17" ht="23" customHeight="1">
      <x:c r="A17" s="1"/>
      <x:c r="B17" s="1" t="str">
        <x:v>Accrued days</x:v>
      </x:c>
      <x:c r="C17" s="19" t="n">
        <x:f>C12-C13</x:f>
        <x:v>12</x:v>
      </x:c>
      <x:c r="D17" s="1"/>
      <x:c r="E17" s="1"/>
      <x:c r="F17" s="1"/>
      <x:c r="G17" s="1"/>
      <x:c r="H17" s="28"/>
      <x:c r="I17" s="28"/>
      <x:c r="J17" s="28"/>
    </x:row>
    <x:row r="18" ht="23" customHeight="1">
      <x:c r="A18" s="1"/>
      <x:c r="B18" s="1" t="str">
        <x:v>Redemption per 100 face</x:v>
      </x:c>
      <x:c r="C18" s="16" t="n">
        <x:v>100</x:v>
      </x:c>
      <x:c r="D18" s="1"/>
      <x:c r="E18" s="1"/>
      <x:c r="F18" s="1"/>
      <x:c r="G18" s="1"/>
      <x:c r="H18" s="28"/>
      <x:c r="I18" s="28"/>
      <x:c r="J18" s="28"/>
    </x:row>
    <x:row r="19" ht="23" customHeight="1">
      <x:c r="A19" s="1"/>
      <x:c r="B19" s="1"/>
      <x:c r="C19" s="20"/>
      <x:c r="D19" s="1"/>
      <x:c r="E19" s="1"/>
      <x:c r="F19" s="1"/>
      <x:c r="G19" s="1"/>
      <x:c r="H19" s="1"/>
      <x:c r="I19" s="1"/>
      <x:c r="J19" s="1"/>
    </x:row>
    <x:row r="20" ht="23" customHeight="1">
      <x:c r="A20" s="1"/>
      <x:c r="B20" s="1" t="str">
        <x:v>Accrued interest</x:v>
      </x:c>
      <x:c r="C20" s="21" t="n">
        <x:f>100*C8/C9*C17/C16</x:f>
        <x:v>0.08459016393442623</x:v>
      </x:c>
      <x:c r="D20" s="1"/>
      <x:c r="E20" s="1"/>
      <x:c r="F20" s="1"/>
      <x:c r="G20" s="1"/>
      <x:c r="H20" s="28" t="str">
        <x:v>Accrual: annual coupon / frequency × elapsed / period days.</x:v>
      </x:c>
      <x:c r="I20" s="28"/>
      <x:c r="J20" s="28"/>
    </x:row>
    <x:row r="21" ht="23" customHeight="1">
      <x:c r="A21" s="1"/>
      <x:c r="B21" s="1" t="str">
        <x:v>Full settlement price</x:v>
      </x:c>
      <x:c r="C21" s="21" t="n">
        <x:f>IF(COUNT(C10)=0,"n.a.",IF(C11="Clean",C10+C20,C10))</x:f>
        <x:v>100.04159016393442</x:v>
      </x:c>
      <x:c r="D21" s="1"/>
      <x:c r="E21" s="1"/>
      <x:c r="F21" s="1"/>
      <x:c r="G21" s="1"/>
      <x:c r="H21" s="28"/>
      <x:c r="I21" s="28"/>
      <x:c r="J21" s="28"/>
    </x:row>
    <x:row r="22" ht="23" customHeight="1">
      <x:c r="A22" s="1"/>
      <x:c r="B22" s="1" t="str">
        <x:v>Quoted yield in coursework</x:v>
      </x:c>
      <x:c r="C22" s="14" t="n">
        <x:v>0.0259</x:v>
      </x:c>
      <x:c r="D22" s="1"/>
      <x:c r="E22" s="1"/>
      <x:c r="F22" s="1"/>
      <x:c r="G22" s="1"/>
      <x:c r="H22" s="28"/>
      <x:c r="I22" s="28"/>
      <x:c r="J22" s="28"/>
    </x:row>
    <x:row r="23" ht="23" customHeight="1">
      <x:c r="A23" s="1"/>
      <x:c r="B23" s="1" t="str">
        <x:v>Current yield on clean price</x:v>
      </x:c>
      <x:c r="C23" s="22" t="n">
        <x:f>IF(AND(COUNT(C10)=1,C10&gt;0),100*C8/(C21-C20),"n.a.")</x:f>
        <x:v>0.025811098772472164</x:v>
      </x:c>
      <x:c r="D23" s="1"/>
      <x:c r="E23" s="1"/>
      <x:c r="F23" s="1"/>
      <x:c r="G23" s="1"/>
      <x:c r="H23" s="1"/>
      <x:c r="I23" s="1"/>
      <x:c r="J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40" customHeight="1">
      <x:c r="A26" s="1"/>
      <x:c r="B26" s="25" t="str">
        <x:v>Coupon date</x:v>
      </x:c>
      <x:c r="C26" s="25" t="str">
        <x:v>Coupon</x:v>
      </x:c>
      <x:c r="D26" s="25" t="str">
        <x:v>Principal</x:v>
      </x:c>
      <x:c r="E26" s="25" t="str">
        <x:v>Cash flow</x:v>
      </x:c>
      <x:c r="F26" s="26" t="str">
        <x:v>Periods from settlement</x:v>
      </x:c>
      <x:c r="G26" s="1"/>
      <x:c r="H26" s="28" t="str">
        <x:v>Price: Yield to Maturity and Selection of Debt Funds (2), 2023 working draft.</x:v>
      </x:c>
      <x:c r="I26" s="28"/>
      <x:c r="J26" s="28"/>
    </x:row>
    <x:row r="27" ht="23" customHeight="1">
      <x:c r="A27" s="1"/>
      <x:c r="B27" s="17" t="n">
        <x:v>45352</x:v>
      </x:c>
      <x:c r="C27" s="21" t="n">
        <x:f>100*$C$8/$C$9</x:f>
        <x:v>2.58</x:v>
      </x:c>
      <x:c r="D27" s="21" t="n">
        <x:f>0</x:f>
        <x:v>0</x:v>
      </x:c>
      <x:c r="E27" s="21" t="n">
        <x:f>C27+D27</x:f>
        <x:v>2.58</x:v>
      </x:c>
      <x:c r="F27" s="21" t="n">
        <x:f>($C$14-$C$12)/$C$16+0</x:f>
        <x:v>0.9672131147540983</x:v>
      </x:c>
      <x:c r="G27" s="1"/>
      <x:c r="H27" s="28"/>
      <x:c r="I27" s="28"/>
      <x:c r="J27" s="28"/>
    </x:row>
    <x:row r="28" ht="23" customHeight="1">
      <x:c r="A28" s="1"/>
      <x:c r="B28" s="17" t="n">
        <x:v>45717</x:v>
      </x:c>
      <x:c r="C28" s="21" t="n">
        <x:f>100*$C$8/$C$9</x:f>
        <x:v>2.58</x:v>
      </x:c>
      <x:c r="D28" s="21" t="n">
        <x:f>0</x:f>
        <x:v>0</x:v>
      </x:c>
      <x:c r="E28" s="21" t="n">
        <x:f>C28+D28</x:f>
        <x:v>2.58</x:v>
      </x:c>
      <x:c r="F28" s="21" t="n">
        <x:f>($C$14-$C$12)/$C$16+1</x:f>
        <x:v>1.9672131147540983</x:v>
      </x:c>
      <x:c r="G28" s="1"/>
      <x:c r="H28" s="28"/>
      <x:c r="I28" s="28"/>
      <x:c r="J28" s="28"/>
    </x:row>
    <x:row r="29" ht="23" customHeight="1">
      <x:c r="A29" s="1"/>
      <x:c r="B29" s="17" t="n">
        <x:v>46082</x:v>
      </x:c>
      <x:c r="C29" s="21" t="n">
        <x:f>100*$C$8/$C$9</x:f>
        <x:v>2.58</x:v>
      </x:c>
      <x:c r="D29" s="21" t="n">
        <x:f>$C$18</x:f>
        <x:v>100</x:v>
      </x:c>
      <x:c r="E29" s="21" t="n">
        <x:f>C29+D29</x:f>
        <x:v>102.58</x:v>
      </x:c>
      <x:c r="F29" s="21" t="n">
        <x:f>($C$14-$C$12)/$C$16+2</x:f>
        <x:v>2.9672131147540983</x:v>
      </x:c>
      <x:c r="G29" s="1"/>
      <x:c r="H29" s="1"/>
      <x:c r="I29" s="1"/>
      <x:c r="J29" s="1"/>
    </x:row>
    <x:row r="30" ht="23" customHeight="1">
      <x:c r="A30" s="1"/>
      <x:c r="B30" s="31"/>
      <x:c r="C30" s="20"/>
      <x:c r="D30" s="20"/>
      <x:c r="E30" s="20"/>
      <x:c r="F30" s="20"/>
      <x:c r="G30" s="1"/>
      <x:c r="H30" s="28" t="str">
        <x:v>Clean-price treatment is an assumption. Select Full to test the alternative.</x:v>
      </x:c>
      <x:c r="I30" s="28"/>
      <x:c r="J30" s="28"/>
    </x:row>
    <x:row r="31" ht="23" customHeight="1">
      <x:c r="A31" s="1"/>
      <x:c r="B31" s="31"/>
      <x:c r="C31" s="20"/>
      <x:c r="D31" s="20"/>
      <x:c r="E31" s="20"/>
      <x:c r="F31" s="20"/>
      <x:c r="G31" s="1"/>
      <x:c r="H31" s="28"/>
      <x:c r="I31" s="28"/>
      <x:c r="J31" s="28"/>
    </x:row>
    <x:row r="32" ht="23" customHeight="1">
      <x:c r="A32" s="1"/>
      <x:c r="B32" s="1"/>
      <x:c r="C32" s="1"/>
      <x:c r="D32" s="1"/>
      <x:c r="E32" s="1"/>
      <x:c r="F32" s="1"/>
      <x:c r="G32" s="1"/>
      <x:c r="H32" s="28"/>
      <x:c r="I32" s="28"/>
      <x:c r="J32" s="28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3" customHeight="1">
      <x:c r="A34" s="1"/>
      <x:c r="B34" s="1" t="str">
        <x:v>Price at YTM - 100 bp</x:v>
      </x:c>
      <x:c r="C34" s="21" t="n">
        <x:f>IF(ISNUMBER(C5),SUM($E$27/(1+($C$5-0.01)/$C$9)^$F$27,$E$28/(1+($C$5-0.01)/$C$9)^$F$28,$E$29/(1+($C$5-0.01)/$C$9)^$F$29)-$C$20,"n.a.")</x:f>
        <x:v>102.83234404489384</x:v>
      </x:c>
      <x:c r="D34" s="1"/>
      <x:c r="E34" s="1"/>
      <x:c r="F34" s="1"/>
      <x:c r="G34" s="1"/>
      <x:c r="H34" s="28" t="str">
        <x:v>Quoted yield: original coursework, 13 Mar 2023.</x:v>
      </x:c>
      <x:c r="I34" s="28"/>
      <x:c r="J34" s="28"/>
    </x:row>
    <x:row r="35" ht="23" customHeight="1">
      <x:c r="A35" s="1"/>
      <x:c r="B35" s="1" t="str">
        <x:v>Price at YTM + 100 bp</x:v>
      </x:c>
      <x:c r="C35" s="21" t="n">
        <x:f>IF(ISNUMBER(C5),SUM($E$27/(1+($C$5+0.01)/$C$9)^$F$27,$E$28/(1+($C$5+0.01)/$C$9)^$F$28,$E$29/(1+($C$5+0.01)/$C$9)^$F$29)-$C$20,"n.a.")</x:f>
        <x:v>97.18982110171078</x:v>
      </x:c>
      <x:c r="D35" s="1"/>
      <x:c r="E35" s="1"/>
      <x:c r="F35" s="1"/>
      <x:c r="G35" s="1"/>
      <x:c r="H35" s="28"/>
      <x:c r="I35" s="28"/>
      <x:c r="J35" s="28"/>
    </x:row>
    <x:row r="36" ht="23" customHeight="1">
      <x:c r="A36" s="1"/>
      <x:c r="B36" s="1"/>
      <x:c r="C36" s="1"/>
      <x:c r="D36" s="1"/>
      <x:c r="E36" s="1"/>
      <x:c r="F36" s="1"/>
      <x:c r="G36" s="1"/>
      <x:c r="H36" s="28"/>
      <x:c r="I36" s="28"/>
      <x:c r="J36" s="28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28" t="str">
        <x:v>Schedule dates are contractual, without holiday shifts or tax deductions.</x:v>
      </x:c>
      <x:c r="I38" s="28"/>
      <x:c r="J38" s="28"/>
    </x:row>
    <x:row r="39" ht="23" customHeight="1">
      <x:c r="A39" s="1"/>
      <x:c r="B39" s="1"/>
      <x:c r="C39" s="1"/>
      <x:c r="D39" s="1"/>
      <x:c r="E39" s="1"/>
      <x:c r="F39" s="1"/>
      <x:c r="G39" s="1"/>
      <x:c r="H39" s="28"/>
      <x:c r="I39" s="28"/>
      <x:c r="J39" s="28"/>
    </x:row>
    <x:row r="40" ht="23" customHeight="1">
      <x:c r="A40" s="1"/>
      <x:c r="B40" s="1"/>
      <x:c r="C40" s="1"/>
      <x:c r="D40" s="1"/>
      <x:c r="E40" s="1"/>
      <x:c r="F40" s="1"/>
      <x:c r="G40" s="1"/>
      <x:c r="H40" s="28"/>
      <x:c r="I40" s="28"/>
      <x:c r="J40" s="28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28" t="str">
        <x:v>Settlement changes are supported within the stated coupon period only.</x:v>
      </x:c>
      <x:c r="I42" s="28"/>
      <x:c r="J42" s="28"/>
    </x:row>
    <x:row r="43" ht="23" customHeight="1">
      <x:c r="A43" s="1"/>
      <x:c r="B43" s="1"/>
      <x:c r="C43" s="1"/>
      <x:c r="D43" s="1"/>
      <x:c r="E43" s="1"/>
      <x:c r="F43" s="1"/>
      <x:c r="G43" s="1"/>
      <x:c r="H43" s="28"/>
      <x:c r="I43" s="28"/>
      <x:c r="J43" s="28"/>
    </x:row>
    <x:row r="44" ht="23" customHeight="1">
      <x:c r="A44" s="1"/>
      <x:c r="B44" s="1"/>
      <x:c r="C44" s="1"/>
      <x:c r="D44" s="1"/>
      <x:c r="E44" s="1"/>
      <x:c r="F44" s="1"/>
      <x:c r="G44" s="1"/>
      <x:c r="H44" s="28"/>
      <x:c r="I44" s="28"/>
      <x:c r="J44" s="28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3" customHeight="1">
      <x:c r="A47" s="1"/>
      <x:c r="B47" s="1" t="str">
        <x:v>Yield calculation — bisection</x:v>
      </x:c>
      <x:c r="C47" s="1"/>
      <x:c r="D47" s="1"/>
      <x:c r="E47" s="1"/>
      <x:c r="F47" s="1"/>
      <x:c r="G47" s="1"/>
      <x:c r="H47" s="1"/>
      <x:c r="I47" s="1"/>
      <x:c r="J47" s="1"/>
    </x:row>
    <x:row r="48" ht="23" customHeight="1">
      <x:c r="A48" s="1"/>
      <x:c r="B48" s="5" t="str">
        <x:v>Solve full price = discounted scheduled cash flows. Bounds: -10% to 100%.</x:v>
      </x:c>
      <x:c r="C48" s="1"/>
      <x:c r="D48" s="1"/>
      <x:c r="E48" s="1"/>
      <x:c r="F48" s="1"/>
      <x:c r="G48" s="1"/>
      <x:c r="H48" s="1"/>
      <x:c r="I48" s="1"/>
      <x:c r="J48" s="1"/>
    </x:row>
    <x:row r="49" ht="29" customHeight="1">
      <x:c r="A49" s="1"/>
      <x:c r="B49" s="25" t="str">
        <x:v>Iteration</x:v>
      </x:c>
      <x:c r="C49" s="25" t="str">
        <x:v>Trial yield</x:v>
      </x:c>
      <x:c r="D49" s="25" t="str">
        <x:v>Lower yield</x:v>
      </x:c>
      <x:c r="E49" s="25" t="str">
        <x:v>Upper yield</x:v>
      </x:c>
      <x:c r="F49" s="25" t="str">
        <x:v>Full price at trial</x:v>
      </x:c>
      <x:c r="G49" s="1"/>
      <x:c r="H49" s="1"/>
      <x:c r="I49" s="1"/>
      <x:c r="J49" s="1"/>
    </x:row>
    <x:row r="50" ht="23" customHeight="1">
      <x:c r="A50" s="1"/>
      <x:c r="B50" s="6" t="n">
        <x:v>0</x:v>
      </x:c>
      <x:c r="C50" s="29" t="n">
        <x:f>(D50+E50)/2</x:f>
        <x:v>0.45</x:v>
      </x:c>
      <x:c r="D50" s="29" t="n">
        <x:f>-0.1</x:f>
        <x:v>-0.1</x:v>
      </x:c>
      <x:c r="E50" s="29" t="n">
        <x:f>1</x:f>
        <x:v>1</x:v>
      </x:c>
      <x:c r="F50" s="30" t="n">
        <x:f>SUM($E$27/(1+C50/$C$9)^$F$27,$E$28/(1+C50/$C$9)^$F$28,$E$29/(1+C50/$C$9)^$F$29)</x:f>
        <x:v>37.103646721763056</x:v>
      </x:c>
      <x:c r="G50" s="1"/>
      <x:c r="H50" s="1"/>
      <x:c r="I50" s="1"/>
      <x:c r="J50" s="1"/>
    </x:row>
    <x:row r="51" ht="23" customHeight="1">
      <x:c r="A51" s="1"/>
      <x:c r="B51" s="6" t="n">
        <x:v>1</x:v>
      </x:c>
      <x:c r="C51" s="29" t="n">
        <x:f>(D51+E51)/2</x:f>
        <x:v>0.175</x:v>
      </x:c>
      <x:c r="D51" s="29" t="n">
        <x:f>IF(F50&gt;$C$21,C50,D50)</x:f>
        <x:v>-0.1</x:v>
      </x:c>
      <x:c r="E51" s="29" t="n">
        <x:f>IF(F50&gt;$C$21,E50,C50)</x:f>
        <x:v>0.45</x:v>
      </x:c>
      <x:c r="F51" s="30" t="n">
        <x:f>SUM($E$27/(1+C51/$C$9)^$F$27,$E$28/(1+C51/$C$9)^$F$28,$E$29/(1+C51/$C$9)^$F$29)</x:f>
        <x:v>67.65501692117758</x:v>
      </x:c>
      <x:c r="G51" s="1"/>
      <x:c r="H51" s="1"/>
      <x:c r="I51" s="1"/>
      <x:c r="J51" s="1"/>
    </x:row>
    <x:row r="52" ht="23" customHeight="1">
      <x:c r="A52" s="1"/>
      <x:c r="B52" s="6" t="n">
        <x:v>2</x:v>
      </x:c>
      <x:c r="C52" s="29" t="n">
        <x:f>(D52+E52)/2</x:f>
        <x:v>0.03749999999999999</x:v>
      </x:c>
      <x:c r="D52" s="29" t="n">
        <x:f>IF(F51&gt;$C$21,C51,D51)</x:f>
        <x:v>-0.1</x:v>
      </x:c>
      <x:c r="E52" s="29" t="n">
        <x:f>IF(F51&gt;$C$21,E51,C51)</x:f>
        <x:v>0.175</x:v>
      </x:c>
      <x:c r="F52" s="30" t="n">
        <x:f>SUM($E$27/(1+C52/$C$9)^$F$27,$E$28/(1+C52/$C$9)^$F$28,$E$29/(1+C52/$C$9)^$F$29)</x:f>
        <x:v>96.85451046459595</x:v>
      </x:c>
      <x:c r="G52" s="1"/>
      <x:c r="H52" s="1"/>
      <x:c r="I52" s="1"/>
      <x:c r="J52" s="1"/>
    </x:row>
    <x:row r="53" ht="23" customHeight="1">
      <x:c r="A53" s="1"/>
      <x:c r="B53" s="6" t="n">
        <x:v>3</x:v>
      </x:c>
      <x:c r="C53" s="29" t="n">
        <x:f>(D53+E53)/2</x:f>
        <x:v>-0.03125000000000001</x:v>
      </x:c>
      <x:c r="D53" s="29" t="n">
        <x:f>IF(F52&gt;$C$21,C52,D52)</x:f>
        <x:v>-0.1</x:v>
      </x:c>
      <x:c r="E53" s="29" t="n">
        <x:f>IF(F52&gt;$C$21,E52,C52)</x:f>
        <x:v>0.03749999999999999</x:v>
      </x:c>
      <x:c r="F53" s="30" t="n">
        <x:f>SUM($E$27/(1+C53/$C$9)^$F$27,$E$28/(1+C53/$C$9)^$F$28,$E$29/(1+C53/$C$9)^$F$29)</x:f>
        <x:v>118.12011107170788</x:v>
      </x:c>
      <x:c r="G53" s="1"/>
      <x:c r="H53" s="1"/>
      <x:c r="I53" s="1"/>
      <x:c r="J53" s="1"/>
    </x:row>
    <x:row r="54" ht="23" customHeight="1">
      <x:c r="A54" s="1"/>
      <x:c r="B54" s="6" t="n">
        <x:v>4</x:v>
      </x:c>
      <x:c r="C54" s="29" t="n">
        <x:f>(D54+E54)/2</x:f>
        <x:v>0.0031249999999999924</x:v>
      </x:c>
      <x:c r="D54" s="29" t="n">
        <x:f>IF(F53&gt;$C$21,C53,D53)</x:f>
        <x:v>-0.03125000000000001</x:v>
      </x:c>
      <x:c r="E54" s="29" t="n">
        <x:f>IF(F53&gt;$C$21,E53,C53)</x:f>
        <x:v>0.03749999999999999</x:v>
      </x:c>
      <x:c r="F54" s="30" t="n">
        <x:f>SUM($E$27/(1+C54/$C$9)^$F$27,$E$28/(1+C54/$C$9)^$F$28,$E$29/(1+C54/$C$9)^$F$29)</x:f>
        <x:v>106.7711268253572</x:v>
      </x:c>
      <x:c r="G54" s="1"/>
      <x:c r="H54" s="1"/>
      <x:c r="I54" s="1"/>
      <x:c r="J54" s="1"/>
    </x:row>
    <x:row r="55" ht="23" customHeight="1">
      <x:c r="A55" s="1"/>
      <x:c r="B55" s="6" t="n">
        <x:v>5</x:v>
      </x:c>
      <x:c r="C55" s="29" t="n">
        <x:f>(D55+E55)/2</x:f>
        <x:v>0.02031249999999999</x:v>
      </x:c>
      <x:c r="D55" s="29" t="n">
        <x:f>IF(F54&gt;$C$21,C54,D54)</x:f>
        <x:v>0.0031249999999999924</x:v>
      </x:c>
      <x:c r="E55" s="29" t="n">
        <x:f>IF(F54&gt;$C$21,E54,C54)</x:f>
        <x:v>0.03749999999999999</x:v>
      </x:c>
      <x:c r="F55" s="30" t="n">
        <x:f>SUM($E$27/(1+C55/$C$9)^$F$27,$E$28/(1+C55/$C$9)^$F$28,$E$29/(1+C55/$C$9)^$F$29)</x:f>
        <x:v>101.64856396803253</x:v>
      </x:c>
      <x:c r="G55" s="1"/>
      <x:c r="H55" s="1"/>
      <x:c r="I55" s="1"/>
      <x:c r="J55" s="1"/>
    </x:row>
    <x:row r="56" ht="23" customHeight="1">
      <x:c r="A56" s="1"/>
      <x:c r="B56" s="6" t="n">
        <x:v>6</x:v>
      </x:c>
      <x:c r="C56" s="29" t="n">
        <x:f>(D56+E56)/2</x:f>
        <x:v>0.02890624999999999</x:v>
      </x:c>
      <x:c r="D56" s="29" t="n">
        <x:f>IF(F55&gt;$C$21,C55,D55)</x:f>
        <x:v>0.02031249999999999</x:v>
      </x:c>
      <x:c r="E56" s="29" t="n">
        <x:f>IF(F55&gt;$C$21,E55,C55)</x:f>
        <x:v>0.03749999999999999</x:v>
      </x:c>
      <x:c r="F56" s="30" t="n">
        <x:f>SUM($E$27/(1+C56/$C$9)^$F$27,$E$28/(1+C56/$C$9)^$F$28,$E$29/(1+C56/$C$9)^$F$29)</x:f>
        <x:v>99.21216295253609</x:v>
      </x:c>
      <x:c r="G56" s="1"/>
      <x:c r="H56" s="1"/>
      <x:c r="I56" s="1"/>
      <x:c r="J56" s="1"/>
    </x:row>
    <x:row r="57" ht="23" customHeight="1">
      <x:c r="A57" s="1"/>
      <x:c r="B57" s="6" t="n">
        <x:v>7</x:v>
      </x:c>
      <x:c r="C57" s="29" t="n">
        <x:f>(D57+E57)/2</x:f>
        <x:v>0.02460937499999999</x:v>
      </x:c>
      <x:c r="D57" s="29" t="n">
        <x:f>IF(F56&gt;$C$21,C56,D56)</x:f>
        <x:v>0.02031249999999999</x:v>
      </x:c>
      <x:c r="E57" s="29" t="n">
        <x:f>IF(F56&gt;$C$21,E56,C56)</x:f>
        <x:v>0.02890624999999999</x:v>
      </x:c>
      <x:c r="F57" s="30" t="n">
        <x:f>SUM($E$27/(1+C57/$C$9)^$F$27,$E$28/(1+C57/$C$9)^$F$28,$E$29/(1+C57/$C$9)^$F$29)</x:f>
        <x:v>100.42031530182852</x:v>
      </x:c>
      <x:c r="G57" s="1"/>
      <x:c r="H57" s="1"/>
      <x:c r="I57" s="1"/>
      <x:c r="J57" s="1"/>
    </x:row>
    <x:row r="58" ht="23" customHeight="1">
      <x:c r="A58" s="1"/>
      <x:c r="B58" s="6" t="n">
        <x:v>8</x:v>
      </x:c>
      <x:c r="C58" s="29" t="n">
        <x:f>(D58+E58)/2</x:f>
        <x:v>0.02675781249999999</x:v>
      </x:c>
      <x:c r="D58" s="29" t="n">
        <x:f>IF(F57&gt;$C$21,C57,D57)</x:f>
        <x:v>0.02460937499999999</x:v>
      </x:c>
      <x:c r="E58" s="29" t="n">
        <x:f>IF(F57&gt;$C$21,E57,C57)</x:f>
        <x:v>0.02890624999999999</x:v>
      </x:c>
      <x:c r="F58" s="30" t="n">
        <x:f>SUM($E$27/(1+C58/$C$9)^$F$27,$E$28/(1+C58/$C$9)^$F$28,$E$29/(1+C58/$C$9)^$F$29)</x:f>
        <x:v>99.81375305992316</x:v>
      </x:c>
      <x:c r="G58" s="1"/>
      <x:c r="H58" s="1"/>
      <x:c r="I58" s="1"/>
      <x:c r="J58" s="1"/>
    </x:row>
    <x:row r="59" ht="23" customHeight="1">
      <x:c r="A59" s="1"/>
      <x:c r="B59" s="6" t="n">
        <x:v>9</x:v>
      </x:c>
      <x:c r="C59" s="29" t="n">
        <x:f>(D59+E59)/2</x:f>
        <x:v>0.02568359374999999</x:v>
      </x:c>
      <x:c r="D59" s="29" t="n">
        <x:f>IF(F58&gt;$C$21,C58,D58)</x:f>
        <x:v>0.02460937499999999</x:v>
      </x:c>
      <x:c r="E59" s="29" t="n">
        <x:f>IF(F58&gt;$C$21,E58,C58)</x:f>
        <x:v>0.02675781249999999</x:v>
      </x:c>
      <x:c r="F59" s="30" t="n">
        <x:f>SUM($E$27/(1+C59/$C$9)^$F$27,$E$28/(1+C59/$C$9)^$F$28,$E$29/(1+C59/$C$9)^$F$29)</x:f>
        <x:v>100.11640944280911</x:v>
      </x:c>
      <x:c r="G59" s="1"/>
      <x:c r="H59" s="1"/>
      <x:c r="I59" s="1"/>
      <x:c r="J59" s="1"/>
    </x:row>
    <x:row r="60" ht="23" customHeight="1">
      <x:c r="A60" s="1"/>
      <x:c r="B60" s="6" t="n">
        <x:v>10</x:v>
      </x:c>
      <x:c r="C60" s="29" t="n">
        <x:f>(D60+E60)/2</x:f>
        <x:v>0.02622070312499999</x:v>
      </x:c>
      <x:c r="D60" s="29" t="n">
        <x:f>IF(F59&gt;$C$21,C59,D59)</x:f>
        <x:v>0.02568359374999999</x:v>
      </x:c>
      <x:c r="E60" s="29" t="n">
        <x:f>IF(F59&gt;$C$21,E59,C59)</x:f>
        <x:v>0.02675781249999999</x:v>
      </x:c>
      <x:c r="F60" s="30" t="n">
        <x:f>SUM($E$27/(1+C60/$C$9)^$F$27,$E$28/(1+C60/$C$9)^$F$28,$E$29/(1+C60/$C$9)^$F$29)</x:f>
        <x:v>99.96492547107408</x:v>
      </x:c>
      <x:c r="G60" s="1"/>
      <x:c r="H60" s="1"/>
      <x:c r="I60" s="1"/>
      <x:c r="J60" s="1"/>
    </x:row>
    <x:row r="61" ht="23" customHeight="1">
      <x:c r="A61" s="1"/>
      <x:c r="B61" s="6" t="n">
        <x:v>11</x:v>
      </x:c>
      <x:c r="C61" s="29" t="n">
        <x:f>(D61+E61)/2</x:f>
        <x:v>0.02595214843749999</x:v>
      </x:c>
      <x:c r="D61" s="29" t="n">
        <x:f>IF(F60&gt;$C$21,C60,D60)</x:f>
        <x:v>0.02568359374999999</x:v>
      </x:c>
      <x:c r="E61" s="29" t="n">
        <x:f>IF(F60&gt;$C$21,E60,C60)</x:f>
        <x:v>0.02622070312499999</x:v>
      </x:c>
      <x:c r="F61" s="30" t="n">
        <x:f>SUM($E$27/(1+C61/$C$9)^$F$27,$E$28/(1+C61/$C$9)^$F$28,$E$29/(1+C61/$C$9)^$F$29)</x:f>
        <x:v>100.04062846143889</x:v>
      </x:c>
      <x:c r="G61" s="1"/>
      <x:c r="H61" s="1"/>
      <x:c r="I61" s="1"/>
      <x:c r="J61" s="1"/>
    </x:row>
    <x:row r="62" ht="23" customHeight="1">
      <x:c r="A62" s="1"/>
      <x:c r="B62" s="6" t="n">
        <x:v>12</x:v>
      </x:c>
      <x:c r="C62" s="29" t="n">
        <x:f>(D62+E62)/2</x:f>
        <x:v>0.02581787109374999</x:v>
      </x:c>
      <x:c r="D62" s="29" t="n">
        <x:f>IF(F61&gt;$C$21,C61,D61)</x:f>
        <x:v>0.02568359374999999</x:v>
      </x:c>
      <x:c r="E62" s="29" t="n">
        <x:f>IF(F61&gt;$C$21,E61,C61)</x:f>
        <x:v>0.02595214843749999</x:v>
      </x:c>
      <x:c r="F62" s="30" t="n">
        <x:f>SUM($E$27/(1+C62/$C$9)^$F$27,$E$28/(1+C62/$C$9)^$F$28,$E$29/(1+C62/$C$9)^$F$29)</x:f>
        <x:v>100.078509196936</x:v>
      </x:c>
      <x:c r="G62" s="1"/>
      <x:c r="H62" s="1"/>
      <x:c r="I62" s="1"/>
      <x:c r="J62" s="1"/>
    </x:row>
    <x:row r="63" ht="23" customHeight="1">
      <x:c r="A63" s="1"/>
      <x:c r="B63" s="6" t="n">
        <x:v>13</x:v>
      </x:c>
      <x:c r="C63" s="29" t="n">
        <x:f>(D63+E63)/2</x:f>
        <x:v>0.025885009765624988</x:v>
      </x:c>
      <x:c r="D63" s="29" t="n">
        <x:f>IF(F62&gt;$C$21,C62,D62)</x:f>
        <x:v>0.02581787109374999</x:v>
      </x:c>
      <x:c r="E63" s="29" t="n">
        <x:f>IF(F62&gt;$C$21,E62,C62)</x:f>
        <x:v>0.02595214843749999</x:v>
      </x:c>
      <x:c r="F63" s="30" t="n">
        <x:f>SUM($E$27/(1+C63/$C$9)^$F$27,$E$28/(1+C63/$C$9)^$F$28,$E$29/(1+C63/$C$9)^$F$29)</x:f>
        <x:v>100.0595663911799</x:v>
      </x:c>
      <x:c r="G63" s="1"/>
      <x:c r="H63" s="1"/>
      <x:c r="I63" s="1"/>
      <x:c r="J63" s="1"/>
    </x:row>
    <x:row r="64" ht="23" customHeight="1">
      <x:c r="A64" s="1"/>
      <x:c r="B64" s="6" t="n">
        <x:v>14</x:v>
      </x:c>
      <x:c r="C64" s="29" t="n">
        <x:f>(D64+E64)/2</x:f>
        <x:v>0.025918579101562488</x:v>
      </x:c>
      <x:c r="D64" s="29" t="n">
        <x:f>IF(F63&gt;$C$21,C63,D63)</x:f>
        <x:v>0.025885009765624988</x:v>
      </x:c>
      <x:c r="E64" s="29" t="n">
        <x:f>IF(F63&gt;$C$21,E63,C63)</x:f>
        <x:v>0.02595214843749999</x:v>
      </x:c>
      <x:c r="F64" s="30" t="n">
        <x:f>SUM($E$27/(1+C64/$C$9)^$F$27,$E$28/(1+C64/$C$9)^$F$28,$E$29/(1+C64/$C$9)^$F$29)</x:f>
        <x:v>100.05009681690612</x:v>
      </x:c>
      <x:c r="G64" s="1"/>
      <x:c r="H64" s="1"/>
      <x:c r="I64" s="1"/>
      <x:c r="J64" s="1"/>
    </x:row>
    <x:row r="65" ht="23" customHeight="1">
      <x:c r="A65" s="1"/>
      <x:c r="B65" s="6" t="n">
        <x:v>15</x:v>
      </x:c>
      <x:c r="C65" s="29" t="n">
        <x:f>(D65+E65)/2</x:f>
        <x:v>0.02593536376953124</x:v>
      </x:c>
      <x:c r="D65" s="29" t="n">
        <x:f>IF(F64&gt;$C$21,C64,D64)</x:f>
        <x:v>0.025918579101562488</x:v>
      </x:c>
      <x:c r="E65" s="29" t="n">
        <x:f>IF(F64&gt;$C$21,E64,C64)</x:f>
        <x:v>0.02595214843749999</x:v>
      </x:c>
      <x:c r="F65" s="30" t="n">
        <x:f>SUM($E$27/(1+C65/$C$9)^$F$27,$E$28/(1+C65/$C$9)^$F$28,$E$29/(1+C65/$C$9)^$F$29)</x:f>
        <x:v>100.04536248683405</x:v>
      </x:c>
      <x:c r="G65" s="1"/>
      <x:c r="H65" s="1"/>
      <x:c r="I65" s="1"/>
      <x:c r="J65" s="1"/>
    </x:row>
    <x:row r="66" ht="23" customHeight="1">
      <x:c r="A66" s="1"/>
      <x:c r="B66" s="6" t="n">
        <x:v>16</x:v>
      </x:c>
      <x:c r="C66" s="29" t="n">
        <x:f>(D66+E66)/2</x:f>
        <x:v>0.025943756103515615</x:v>
      </x:c>
      <x:c r="D66" s="29" t="n">
        <x:f>IF(F65&gt;$C$21,C65,D65)</x:f>
        <x:v>0.02593536376953124</x:v>
      </x:c>
      <x:c r="E66" s="29" t="n">
        <x:f>IF(F65&gt;$C$21,E65,C65)</x:f>
        <x:v>0.02595214843749999</x:v>
      </x:c>
      <x:c r="F66" s="30" t="n">
        <x:f>SUM($E$27/(1+C66/$C$9)^$F$27,$E$28/(1+C66/$C$9)^$F$28,$E$29/(1+C66/$C$9)^$F$29)</x:f>
        <x:v>100.04299543605339</x:v>
      </x:c>
      <x:c r="G66" s="1"/>
      <x:c r="H66" s="1"/>
      <x:c r="I66" s="1"/>
      <x:c r="J66" s="1"/>
    </x:row>
    <x:row r="67" ht="23" customHeight="1">
      <x:c r="A67" s="1"/>
      <x:c r="B67" s="6" t="n">
        <x:v>17</x:v>
      </x:c>
      <x:c r="C67" s="29" t="n">
        <x:f>(D67+E67)/2</x:f>
        <x:v>0.0259479522705078</x:v>
      </x:c>
      <x:c r="D67" s="29" t="n">
        <x:f>IF(F66&gt;$C$21,C66,D66)</x:f>
        <x:v>0.025943756103515615</x:v>
      </x:c>
      <x:c r="E67" s="29" t="n">
        <x:f>IF(F66&gt;$C$21,E66,C66)</x:f>
        <x:v>0.02595214843749999</x:v>
      </x:c>
      <x:c r="F67" s="30" t="n">
        <x:f>SUM($E$27/(1+C67/$C$9)^$F$27,$E$28/(1+C67/$C$9)^$F$28,$E$29/(1+C67/$C$9)^$F$29)</x:f>
        <x:v>100.04181193922557</x:v>
      </x:c>
      <x:c r="G67" s="1"/>
      <x:c r="H67" s="1"/>
      <x:c r="I67" s="1"/>
      <x:c r="J67" s="1"/>
    </x:row>
    <x:row r="68" ht="23" customHeight="1">
      <x:c r="A68" s="1"/>
      <x:c r="B68" s="6" t="n">
        <x:v>18</x:v>
      </x:c>
      <x:c r="C68" s="29" t="n">
        <x:f>(D68+E68)/2</x:f>
        <x:v>0.025950050354003894</x:v>
      </x:c>
      <x:c r="D68" s="29" t="n">
        <x:f>IF(F67&gt;$C$21,C67,D67)</x:f>
        <x:v>0.0259479522705078</x:v>
      </x:c>
      <x:c r="E68" s="29" t="n">
        <x:f>IF(F67&gt;$C$21,E67,C67)</x:f>
        <x:v>0.02595214843749999</x:v>
      </x:c>
      <x:c r="F68" s="30" t="n">
        <x:f>SUM($E$27/(1+C68/$C$9)^$F$27,$E$28/(1+C68/$C$9)^$F$28,$E$29/(1+C68/$C$9)^$F$29)</x:f>
        <x:v>100.04122019795207</x:v>
      </x:c>
      <x:c r="G68" s="1"/>
      <x:c r="H68" s="1"/>
      <x:c r="I68" s="1"/>
      <x:c r="J68" s="1"/>
    </x:row>
    <x:row r="69" ht="23" customHeight="1">
      <x:c r="A69" s="1"/>
      <x:c r="B69" s="6" t="n">
        <x:v>19</x:v>
      </x:c>
      <x:c r="C69" s="29" t="n">
        <x:f>(D69+E69)/2</x:f>
        <x:v>0.025949001312255845</x:v>
      </x:c>
      <x:c r="D69" s="29" t="n">
        <x:f>IF(F68&gt;$C$21,C68,D68)</x:f>
        <x:v>0.0259479522705078</x:v>
      </x:c>
      <x:c r="E69" s="29" t="n">
        <x:f>IF(F68&gt;$C$21,E68,C68)</x:f>
        <x:v>0.025950050354003894</x:v>
      </x:c>
      <x:c r="F69" s="30" t="n">
        <x:f>SUM($E$27/(1+C69/$C$9)^$F$27,$E$28/(1+C69/$C$9)^$F$28,$E$29/(1+C69/$C$9)^$F$29)</x:f>
        <x:v>100.0415160679938</x:v>
      </x:c>
      <x:c r="G69" s="1"/>
      <x:c r="H69" s="1"/>
      <x:c r="I69" s="1"/>
      <x:c r="J69" s="1"/>
    </x:row>
    <x:row r="70" ht="23" customHeight="1">
      <x:c r="A70" s="1"/>
      <x:c r="B70" s="6" t="n">
        <x:v>20</x:v>
      </x:c>
      <x:c r="C70" s="29" t="n">
        <x:f>(D70+E70)/2</x:f>
        <x:v>0.025948476791381823</x:v>
      </x:c>
      <x:c r="D70" s="29" t="n">
        <x:f>IF(F69&gt;$C$21,C69,D69)</x:f>
        <x:v>0.0259479522705078</x:v>
      </x:c>
      <x:c r="E70" s="29" t="n">
        <x:f>IF(F69&gt;$C$21,E69,C69)</x:f>
        <x:v>0.025949001312255845</x:v>
      </x:c>
      <x:c r="F70" s="30" t="n">
        <x:f>SUM($E$27/(1+C70/$C$9)^$F$27,$E$28/(1+C70/$C$9)^$F$28,$E$29/(1+C70/$C$9)^$F$29)</x:f>
        <x:v>100.04166400346091</x:v>
      </x:c>
      <x:c r="G70" s="1"/>
      <x:c r="H70" s="1"/>
      <x:c r="I70" s="1"/>
      <x:c r="J70" s="1"/>
    </x:row>
    <x:row r="71" ht="23" customHeight="1">
      <x:c r="A71" s="1"/>
      <x:c r="B71" s="6" t="n">
        <x:v>21</x:v>
      </x:c>
      <x:c r="C71" s="29" t="n">
        <x:f>(D71+E71)/2</x:f>
        <x:v>0.025948739051818832</x:v>
      </x:c>
      <x:c r="D71" s="29" t="n">
        <x:f>IF(F70&gt;$C$21,C70,D70)</x:f>
        <x:v>0.025948476791381823</x:v>
      </x:c>
      <x:c r="E71" s="29" t="n">
        <x:f>IF(F70&gt;$C$21,E70,C70)</x:f>
        <x:v>0.025949001312255845</x:v>
      </x:c>
      <x:c r="F71" s="30" t="n">
        <x:f>SUM($E$27/(1+C71/$C$9)^$F$27,$E$28/(1+C71/$C$9)^$F$28,$E$29/(1+C71/$C$9)^$F$29)</x:f>
        <x:v>100.04159003569015</x:v>
      </x:c>
      <x:c r="G71" s="1"/>
      <x:c r="H71" s="1"/>
      <x:c r="I71" s="1"/>
      <x:c r="J71" s="1"/>
    </x:row>
    <x:row r="72" ht="23" customHeight="1">
      <x:c r="A72" s="1"/>
      <x:c r="B72" s="6" t="n">
        <x:v>22</x:v>
      </x:c>
      <x:c r="C72" s="29" t="n">
        <x:f>(D72+E72)/2</x:f>
        <x:v>0.02594860792160033</x:v>
      </x:c>
      <x:c r="D72" s="29" t="n">
        <x:f>IF(F71&gt;$C$21,C71,D71)</x:f>
        <x:v>0.025948476791381823</x:v>
      </x:c>
      <x:c r="E72" s="29" t="n">
        <x:f>IF(F71&gt;$C$21,E71,C71)</x:f>
        <x:v>0.025948739051818832</x:v>
      </x:c>
      <x:c r="F72" s="30" t="n">
        <x:f>SUM($E$27/(1+C72/$C$9)^$F$27,$E$28/(1+C72/$C$9)^$F$28,$E$29/(1+C72/$C$9)^$F$29)</x:f>
        <x:v>100.04162701956628</x:v>
      </x:c>
      <x:c r="G72" s="1"/>
      <x:c r="H72" s="1"/>
      <x:c r="I72" s="1"/>
      <x:c r="J72" s="1"/>
    </x:row>
    <x:row r="73" ht="23" customHeight="1">
      <x:c r="A73" s="1"/>
      <x:c r="B73" s="6" t="n">
        <x:v>23</x:v>
      </x:c>
      <x:c r="C73" s="29" t="n">
        <x:f>(D73+E73)/2</x:f>
        <x:v>0.02594867348670958</x:v>
      </x:c>
      <x:c r="D73" s="29" t="n">
        <x:f>IF(F72&gt;$C$21,C72,D72)</x:f>
        <x:v>0.02594860792160033</x:v>
      </x:c>
      <x:c r="E73" s="29" t="n">
        <x:f>IF(F72&gt;$C$21,E72,C72)</x:f>
        <x:v>0.025948739051818832</x:v>
      </x:c>
      <x:c r="F73" s="30" t="n">
        <x:f>SUM($E$27/(1+C73/$C$9)^$F$27,$E$28/(1+C73/$C$9)^$F$28,$E$29/(1+C73/$C$9)^$F$29)</x:f>
        <x:v>100.04160852762588</x:v>
      </x:c>
      <x:c r="G73" s="1"/>
      <x:c r="H73" s="1"/>
      <x:c r="I73" s="1"/>
      <x:c r="J73" s="1"/>
    </x:row>
    <x:row r="74" ht="23" customHeight="1">
      <x:c r="A74" s="1"/>
      <x:c r="B74" s="6" t="n">
        <x:v>24</x:v>
      </x:c>
      <x:c r="C74" s="29" t="n">
        <x:f>(D74+E74)/2</x:f>
        <x:v>0.025948706269264207</x:v>
      </x:c>
      <x:c r="D74" s="29" t="n">
        <x:f>IF(F73&gt;$C$21,C73,D73)</x:f>
        <x:v>0.02594867348670958</x:v>
      </x:c>
      <x:c r="E74" s="29" t="n">
        <x:f>IF(F73&gt;$C$21,E73,C73)</x:f>
        <x:v>0.025948739051818832</x:v>
      </x:c>
      <x:c r="F74" s="30" t="n">
        <x:f>SUM($E$27/(1+C74/$C$9)^$F$27,$E$28/(1+C74/$C$9)^$F$28,$E$29/(1+C74/$C$9)^$F$29)</x:f>
        <x:v>100.04159928165743</x:v>
      </x:c>
      <x:c r="G74" s="1"/>
      <x:c r="H74" s="1"/>
      <x:c r="I74" s="1"/>
      <x:c r="J74" s="1"/>
    </x:row>
    <x:row r="75" ht="23" customHeight="1">
      <x:c r="A75" s="1"/>
      <x:c r="B75" s="6" t="n">
        <x:v>25</x:v>
      </x:c>
      <x:c r="C75" s="29" t="n">
        <x:f>(D75+E75)/2</x:f>
        <x:v>0.025948722660541518</x:v>
      </x:c>
      <x:c r="D75" s="29" t="n">
        <x:f>IF(F74&gt;$C$21,C74,D74)</x:f>
        <x:v>0.025948706269264207</x:v>
      </x:c>
      <x:c r="E75" s="29" t="n">
        <x:f>IF(F74&gt;$C$21,E74,C74)</x:f>
        <x:v>0.025948739051818832</x:v>
      </x:c>
      <x:c r="F75" s="30" t="n">
        <x:f>SUM($E$27/(1+C75/$C$9)^$F$27,$E$28/(1+C75/$C$9)^$F$28,$E$29/(1+C75/$C$9)^$F$29)</x:f>
        <x:v>100.04159465867369</x:v>
      </x:c>
      <x:c r="G75" s="1"/>
      <x:c r="H75" s="1"/>
      <x:c r="I75" s="1"/>
      <x:c r="J75" s="1"/>
    </x:row>
    <x:row r="76" ht="23" customHeight="1">
      <x:c r="A76" s="1"/>
      <x:c r="B76" s="6" t="n">
        <x:v>26</x:v>
      </x:c>
      <x:c r="C76" s="29" t="n">
        <x:f>(D76+E76)/2</x:f>
        <x:v>0.025948730856180175</x:v>
      </x:c>
      <x:c r="D76" s="29" t="n">
        <x:f>IF(F75&gt;$C$21,C75,D75)</x:f>
        <x:v>0.025948722660541518</x:v>
      </x:c>
      <x:c r="E76" s="29" t="n">
        <x:f>IF(F75&gt;$C$21,E75,C75)</x:f>
        <x:v>0.025948739051818832</x:v>
      </x:c>
      <x:c r="F76" s="30" t="n">
        <x:f>SUM($E$27/(1+C76/$C$9)^$F$27,$E$28/(1+C76/$C$9)^$F$28,$E$29/(1+C76/$C$9)^$F$29)</x:f>
        <x:v>100.0415923471819</x:v>
      </x:c>
      <x:c r="G76" s="1"/>
      <x:c r="H76" s="1"/>
      <x:c r="I76" s="1"/>
      <x:c r="J76" s="1"/>
    </x:row>
    <x:row r="77" ht="23" customHeight="1">
      <x:c r="A77" s="1"/>
      <x:c r="B77" s="6" t="n">
        <x:v>27</x:v>
      </x:c>
      <x:c r="C77" s="29" t="n">
        <x:f>(D77+E77)/2</x:f>
        <x:v>0.025948734953999505</x:v>
      </x:c>
      <x:c r="D77" s="29" t="n">
        <x:f>IF(F76&gt;$C$21,C76,D76)</x:f>
        <x:v>0.025948730856180175</x:v>
      </x:c>
      <x:c r="E77" s="29" t="n">
        <x:f>IF(F76&gt;$C$21,E76,C76)</x:f>
        <x:v>0.025948739051818832</x:v>
      </x:c>
      <x:c r="F77" s="30" t="n">
        <x:f>SUM($E$27/(1+C77/$C$9)^$F$27,$E$28/(1+C77/$C$9)^$F$28,$E$29/(1+C77/$C$9)^$F$29)</x:f>
        <x:v>100.04159119143603</x:v>
      </x:c>
      <x:c r="G77" s="1"/>
      <x:c r="H77" s="1"/>
      <x:c r="I77" s="1"/>
      <x:c r="J77" s="1"/>
    </x:row>
    <x:row r="78" ht="23" customHeight="1">
      <x:c r="A78" s="1"/>
      <x:c r="B78" s="6" t="n">
        <x:v>28</x:v>
      </x:c>
      <x:c r="C78" s="29" t="n">
        <x:f>(D78+E78)/2</x:f>
        <x:v>0.02594873700290917</x:v>
      </x:c>
      <x:c r="D78" s="29" t="n">
        <x:f>IF(F77&gt;$C$21,C77,D77)</x:f>
        <x:v>0.025948734953999505</x:v>
      </x:c>
      <x:c r="E78" s="29" t="n">
        <x:f>IF(F77&gt;$C$21,E77,C77)</x:f>
        <x:v>0.025948739051818832</x:v>
      </x:c>
      <x:c r="F78" s="30" t="n">
        <x:f>SUM($E$27/(1+C78/$C$9)^$F$27,$E$28/(1+C78/$C$9)^$F$28,$E$29/(1+C78/$C$9)^$F$29)</x:f>
        <x:v>100.04159061356309</x:v>
      </x:c>
      <x:c r="G78" s="1"/>
      <x:c r="H78" s="1"/>
      <x:c r="I78" s="1"/>
      <x:c r="J78" s="1"/>
    </x:row>
    <x:row r="79" ht="23" customHeight="1">
      <x:c r="A79" s="1"/>
      <x:c r="B79" s="6" t="n">
        <x:v>29</x:v>
      </x:c>
      <x:c r="C79" s="29" t="n">
        <x:f>(D79+E79)/2</x:f>
        <x:v>0.025948738027364</x:v>
      </x:c>
      <x:c r="D79" s="29" t="n">
        <x:f>IF(F78&gt;$C$21,C78,D78)</x:f>
        <x:v>0.02594873700290917</x:v>
      </x:c>
      <x:c r="E79" s="29" t="n">
        <x:f>IF(F78&gt;$C$21,E78,C78)</x:f>
        <x:v>0.025948739051818832</x:v>
      </x:c>
      <x:c r="F79" s="30" t="n">
        <x:f>SUM($E$27/(1+C79/$C$9)^$F$27,$E$28/(1+C79/$C$9)^$F$28,$E$29/(1+C79/$C$9)^$F$29)</x:f>
        <x:v>100.04159032462664</x:v>
      </x:c>
      <x:c r="G79" s="1"/>
      <x:c r="H79" s="1"/>
      <x:c r="I79" s="1"/>
      <x:c r="J79" s="1"/>
    </x:row>
    <x:row r="80" ht="23" customHeight="1">
      <x:c r="A80" s="1"/>
      <x:c r="B80" s="6" t="n">
        <x:v>30</x:v>
      </x:c>
      <x:c r="C80" s="29" t="n">
        <x:f>(D80+E80)/2</x:f>
        <x:v>0.025948738539591416</x:v>
      </x:c>
      <x:c r="D80" s="29" t="n">
        <x:f>IF(F79&gt;$C$21,C79,D79)</x:f>
        <x:v>0.025948738027364</x:v>
      </x:c>
      <x:c r="E80" s="29" t="n">
        <x:f>IF(F79&gt;$C$21,E79,C79)</x:f>
        <x:v>0.025948739051818832</x:v>
      </x:c>
      <x:c r="F80" s="30" t="n">
        <x:f>SUM($E$27/(1+C80/$C$9)^$F$27,$E$28/(1+C80/$C$9)^$F$28,$E$29/(1+C80/$C$9)^$F$29)</x:f>
        <x:v>100.04159018015842</x:v>
      </x:c>
      <x:c r="G80" s="1"/>
      <x:c r="H80" s="1"/>
      <x:c r="I80" s="1"/>
      <x:c r="J80" s="1"/>
    </x:row>
    <x:row r="81" ht="23" customHeight="1">
      <x:c r="A81" s="1"/>
      <x:c r="B81" s="6" t="n">
        <x:v>31</x:v>
      </x:c>
      <x:c r="C81" s="29" t="n">
        <x:f>(D81+E81)/2</x:f>
        <x:v>0.025948738795705126</x:v>
      </x:c>
      <x:c r="D81" s="29" t="n">
        <x:f>IF(F80&gt;$C$21,C80,D80)</x:f>
        <x:v>0.025948738539591416</x:v>
      </x:c>
      <x:c r="E81" s="29" t="n">
        <x:f>IF(F80&gt;$C$21,E80,C80)</x:f>
        <x:v>0.025948739051818832</x:v>
      </x:c>
      <x:c r="F81" s="30" t="n">
        <x:f>SUM($E$27/(1+C81/$C$9)^$F$27,$E$28/(1+C81/$C$9)^$F$28,$E$29/(1+C81/$C$9)^$F$29)</x:f>
        <x:v>100.04159010792429</x:v>
      </x:c>
      <x:c r="G81" s="1"/>
      <x:c r="H81" s="1"/>
      <x:c r="I81" s="1"/>
      <x:c r="J81" s="1"/>
    </x:row>
    <x:row r="82" ht="23" customHeight="1">
      <x:c r="A82" s="1"/>
      <x:c r="B82" s="6" t="n">
        <x:v>32</x:v>
      </x:c>
      <x:c r="C82" s="29" t="n">
        <x:f>(D82+E82)/2</x:f>
        <x:v>0.02594873866764827</x:v>
      </x:c>
      <x:c r="D82" s="29" t="n">
        <x:f>IF(F81&gt;$C$21,C81,D81)</x:f>
        <x:v>0.025948738539591416</x:v>
      </x:c>
      <x:c r="E82" s="29" t="n">
        <x:f>IF(F81&gt;$C$21,E81,C81)</x:f>
        <x:v>0.025948738795705126</x:v>
      </x:c>
      <x:c r="F82" s="30" t="n">
        <x:f>SUM($E$27/(1+C82/$C$9)^$F$27,$E$28/(1+C82/$C$9)^$F$28,$E$29/(1+C82/$C$9)^$F$29)</x:f>
        <x:v>100.04159014404135</x:v>
      </x:c>
      <x:c r="G82" s="1"/>
      <x:c r="H82" s="1"/>
      <x:c r="I82" s="1"/>
      <x:c r="J82" s="1"/>
    </x:row>
    <x:row r="83" ht="23" customHeight="1">
      <x:c r="A83" s="1"/>
      <x:c r="B83" s="6" t="n">
        <x:v>33</x:v>
      </x:c>
      <x:c r="C83" s="29" t="n">
        <x:f>(D83+E83)/2</x:f>
        <x:v>0.02594873860361984</x:v>
      </x:c>
      <x:c r="D83" s="29" t="n">
        <x:f>IF(F82&gt;$C$21,C82,D82)</x:f>
        <x:v>0.025948738539591416</x:v>
      </x:c>
      <x:c r="E83" s="29" t="n">
        <x:f>IF(F82&gt;$C$21,E82,C82)</x:f>
        <x:v>0.02594873866764827</x:v>
      </x:c>
      <x:c r="F83" s="30" t="n">
        <x:f>SUM($E$27/(1+C83/$C$9)^$F$27,$E$28/(1+C83/$C$9)^$F$28,$E$29/(1+C83/$C$9)^$F$29)</x:f>
        <x:v>100.04159016209985</x:v>
      </x:c>
      <x:c r="G83" s="1"/>
      <x:c r="H83" s="1"/>
      <x:c r="I83" s="1"/>
      <x:c r="J83" s="1"/>
    </x:row>
    <x:row r="84" ht="23" customHeight="1">
      <x:c r="A84" s="1"/>
      <x:c r="B84" s="6" t="n">
        <x:v>34</x:v>
      </x:c>
      <x:c r="C84" s="29" t="n">
        <x:f>(D84+E84)/2</x:f>
        <x:v>0.02594873857160563</x:v>
      </x:c>
      <x:c r="D84" s="29" t="n">
        <x:f>IF(F83&gt;$C$21,C83,D83)</x:f>
        <x:v>0.025948738539591416</x:v>
      </x:c>
      <x:c r="E84" s="29" t="n">
        <x:f>IF(F83&gt;$C$21,E83,C83)</x:f>
        <x:v>0.02594873860361984</x:v>
      </x:c>
      <x:c r="F84" s="30" t="n">
        <x:f>SUM($E$27/(1+C84/$C$9)^$F$27,$E$28/(1+C84/$C$9)^$F$28,$E$29/(1+C84/$C$9)^$F$29)</x:f>
        <x:v>100.0415901711291</x:v>
      </x:c>
      <x:c r="G84" s="1"/>
      <x:c r="H84" s="1"/>
      <x:c r="I84" s="1"/>
      <x:c r="J84" s="1"/>
    </x:row>
    <x:row r="85" ht="23" customHeight="1">
      <x:c r="A85" s="1"/>
      <x:c r="B85" s="6" t="n">
        <x:v>35</x:v>
      </x:c>
      <x:c r="C85" s="29" t="n">
        <x:f>(D85+E85)/2</x:f>
        <x:v>0.025948738587612735</x:v>
      </x:c>
      <x:c r="D85" s="29" t="n">
        <x:f>IF(F84&gt;$C$21,C84,D84)</x:f>
        <x:v>0.02594873857160563</x:v>
      </x:c>
      <x:c r="E85" s="29" t="n">
        <x:f>IF(F84&gt;$C$21,E84,C84)</x:f>
        <x:v>0.02594873860361984</x:v>
      </x:c>
      <x:c r="F85" s="30" t="n">
        <x:f>SUM($E$27/(1+C85/$C$9)^$F$27,$E$28/(1+C85/$C$9)^$F$28,$E$29/(1+C85/$C$9)^$F$29)</x:f>
        <x:v>100.04159016661451</x:v>
      </x:c>
      <x:c r="G85" s="1"/>
      <x:c r="H85" s="1"/>
      <x:c r="I85" s="1"/>
      <x:c r="J85" s="1"/>
    </x:row>
    <x:row r="86" ht="23" customHeight="1">
      <x:c r="A86" s="1"/>
      <x:c r="B86" s="6" t="n">
        <x:v>36</x:v>
      </x:c>
      <x:c r="C86" s="29" t="n">
        <x:f>(D86+E86)/2</x:f>
        <x:v>0.025948738595616288</x:v>
      </x:c>
      <x:c r="D86" s="29" t="n">
        <x:f>IF(F85&gt;$C$21,C85,D85)</x:f>
        <x:v>0.025948738587612735</x:v>
      </x:c>
      <x:c r="E86" s="29" t="n">
        <x:f>IF(F85&gt;$C$21,E85,C85)</x:f>
        <x:v>0.02594873860361984</x:v>
      </x:c>
      <x:c r="F86" s="30" t="n">
        <x:f>SUM($E$27/(1+C86/$C$9)^$F$27,$E$28/(1+C86/$C$9)^$F$28,$E$29/(1+C86/$C$9)^$F$29)</x:f>
        <x:v>100.04159016435719</x:v>
      </x:c>
      <x:c r="G86" s="1"/>
      <x:c r="H86" s="1"/>
      <x:c r="I86" s="1"/>
      <x:c r="J86" s="1"/>
    </x:row>
    <x:row r="87" ht="23" customHeight="1">
      <x:c r="A87" s="1"/>
      <x:c r="B87" s="6" t="n">
        <x:v>37</x:v>
      </x:c>
      <x:c r="C87" s="29" t="n">
        <x:f>(D87+E87)/2</x:f>
        <x:v>0.025948738599618063</x:v>
      </x:c>
      <x:c r="D87" s="29" t="n">
        <x:f>IF(F86&gt;$C$21,C86,D86)</x:f>
        <x:v>0.025948738595616288</x:v>
      </x:c>
      <x:c r="E87" s="29" t="n">
        <x:f>IF(F86&gt;$C$21,E86,C86)</x:f>
        <x:v>0.02594873860361984</x:v>
      </x:c>
      <x:c r="F87" s="30" t="n">
        <x:f>SUM($E$27/(1+C87/$C$9)^$F$27,$E$28/(1+C87/$C$9)^$F$28,$E$29/(1+C87/$C$9)^$F$29)</x:f>
        <x:v>100.04159016322855</x:v>
      </x:c>
      <x:c r="G87" s="1"/>
      <x:c r="H87" s="1"/>
      <x:c r="I87" s="1"/>
      <x:c r="J87" s="1"/>
    </x:row>
    <x:row r="88" ht="23" customHeight="1">
      <x:c r="A88" s="1"/>
      <x:c r="B88" s="6" t="n">
        <x:v>38</x:v>
      </x:c>
      <x:c r="C88" s="29" t="n">
        <x:f>(D88+E88)/2</x:f>
        <x:v>0.025948738597617177</x:v>
      </x:c>
      <x:c r="D88" s="29" t="n">
        <x:f>IF(F87&gt;$C$21,C87,D87)</x:f>
        <x:v>0.025948738595616288</x:v>
      </x:c>
      <x:c r="E88" s="29" t="n">
        <x:f>IF(F87&gt;$C$21,E87,C87)</x:f>
        <x:v>0.025948738599618063</x:v>
      </x:c>
      <x:c r="F88" s="30" t="n">
        <x:f>SUM($E$27/(1+C88/$C$9)^$F$27,$E$28/(1+C88/$C$9)^$F$28,$E$29/(1+C88/$C$9)^$F$29)</x:f>
        <x:v>100.04159016379286</x:v>
      </x:c>
      <x:c r="G88" s="1"/>
      <x:c r="H88" s="1"/>
      <x:c r="I88" s="1"/>
      <x:c r="J88" s="1"/>
    </x:row>
    <x:row r="89" ht="23" customHeight="1">
      <x:c r="A89" s="1"/>
      <x:c r="B89" s="6" t="n">
        <x:v>39</x:v>
      </x:c>
      <x:c r="C89" s="29" t="n">
        <x:f>(D89+E89)/2</x:f>
        <x:v>0.025948738596616734</x:v>
      </x:c>
      <x:c r="D89" s="29" t="n">
        <x:f>IF(F88&gt;$C$21,C88,D88)</x:f>
        <x:v>0.025948738595616288</x:v>
      </x:c>
      <x:c r="E89" s="29" t="n">
        <x:f>IF(F88&gt;$C$21,E88,C88)</x:f>
        <x:v>0.025948738597617177</x:v>
      </x:c>
      <x:c r="F89" s="30" t="n">
        <x:f>SUM($E$27/(1+C89/$C$9)^$F$27,$E$28/(1+C89/$C$9)^$F$28,$E$29/(1+C89/$C$9)^$F$29)</x:f>
        <x:v>100.04159016407499</x:v>
      </x:c>
      <x:c r="G89" s="1"/>
      <x:c r="H89" s="1"/>
      <x:c r="I89" s="1"/>
      <x:c r="J89" s="1"/>
    </x:row>
    <x:row r="90" ht="23" customHeight="1">
      <x:c r="A90" s="1"/>
      <x:c r="B90" s="6" t="n">
        <x:v>40</x:v>
      </x:c>
      <x:c r="C90" s="29" t="n">
        <x:f>(D90+E90)/2</x:f>
        <x:v>0.025948738597116956</x:v>
      </x:c>
      <x:c r="D90" s="29" t="n">
        <x:f>IF(F89&gt;$C$21,C89,D89)</x:f>
        <x:v>0.025948738596616734</x:v>
      </x:c>
      <x:c r="E90" s="29" t="n">
        <x:f>IF(F89&gt;$C$21,E89,C89)</x:f>
        <x:v>0.025948738597617177</x:v>
      </x:c>
      <x:c r="F90" s="30" t="n">
        <x:f>SUM($E$27/(1+C90/$C$9)^$F$27,$E$28/(1+C90/$C$9)^$F$28,$E$29/(1+C90/$C$9)^$F$29)</x:f>
        <x:v>100.04159016393396</x:v>
      </x:c>
      <x:c r="G90" s="1"/>
      <x:c r="H90" s="1"/>
      <x:c r="I90" s="1"/>
      <x:c r="J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23" customHeight="1">
      <x:c r="A94" s="1"/>
      <x:c r="B94" s="37" t="str">
        <x:v>https://static.sse.com.cn/disclosure/bond/announcement/common/c/new/2023-02-28/018020_20230228_F8L7.pdf</x:v>
      </x:c>
      <x:c r="C94" s="37"/>
      <x:c r="D94" s="37"/>
      <x:c r="E94" s="37"/>
      <x:c r="F94" s="37"/>
      <x:c r="G94" s="37"/>
      <x:c r="H94" s="37"/>
      <x:c r="I94" s="37"/>
      <x:c r="J94" s="37"/>
    </x:row>
    <x:row r="95" ht="23" customHeight="1">
      <x:c r="A95" s="1"/>
      <x:c r="B95" s="37"/>
      <x:c r="C95" s="37"/>
      <x:c r="D95" s="37"/>
      <x:c r="E95" s="37"/>
      <x:c r="F95" s="37"/>
      <x:c r="G95" s="37"/>
      <x:c r="H95" s="37"/>
      <x:c r="I95" s="37"/>
      <x:c r="J95" s="37"/>
    </x:row>
    <x:row r="96" ht="23" customHeight="1">
      <x:c r="A96" s="1"/>
      <x:c r="B96" s="37"/>
      <x:c r="C96" s="37"/>
      <x:c r="D96" s="37"/>
      <x:c r="E96" s="37"/>
      <x:c r="F96" s="37"/>
      <x:c r="G96" s="37"/>
      <x:c r="H96" s="37"/>
      <x:c r="I96" s="37"/>
      <x:c r="J96" s="37"/>
    </x:row>
    <x:row r="97" ht="23" customHeight="1">
      <x:c r="A97" s="1"/>
      <x:c r="B97" s="37"/>
      <x:c r="C97" s="37"/>
      <x:c r="D97" s="37"/>
      <x:c r="E97" s="37"/>
      <x:c r="F97" s="37"/>
      <x:c r="G97" s="37"/>
      <x:c r="H97" s="37"/>
      <x:c r="I97" s="37"/>
      <x:c r="J97" s="37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</x:sheetData>
  <x:mergeCells>
    <x:mergeCell ref="H8:J10"/>
    <x:mergeCell ref="H12:J14"/>
    <x:mergeCell ref="H16:J18"/>
    <x:mergeCell ref="H20:J22"/>
    <x:mergeCell ref="H26:J28"/>
    <x:mergeCell ref="H30:J32"/>
    <x:mergeCell ref="H34:J36"/>
    <x:mergeCell ref="H38:J40"/>
    <x:mergeCell ref="H42:J44"/>
    <x:mergeCell ref="B94:J97"/>
  </x:mergeCells>
  <x:dataValidations count="1">
    <x:dataValidation type="list" sqref="C11">
      <x:formula1>"Clean,Full"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1"/>
      <x:c r="B2" s="3" t="str">
        <x:v>184575 — 22 Nanjing Anju</x:v>
      </x:c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5" t="str">
        <x:v>RMB per 100 face value. Contractual coupon dates; pre-tax returns.</x:v>
      </x:c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0" t="str">
        <x:v>Reconstructed nominal YTM</x:v>
      </x:c>
      <x:c r="C5" s="12" t="n">
        <x:f>IF(AND(COUNT(C10)=1,C10&gt;0,OR(C11="Clean",C11="Full"),C12&gt;=C13,C12&lt;C14,C9&gt;0,C18&gt;0),IF(AND(SUM($E$27/(1+(-0.1)/$C$9)^$F$27,$E$28/(1+(-0.1)/$C$9)^$F$28,$E$29/(1+(-0.1)/$C$9)^$F$29,$E$30/(1+(-0.1)/$C$9)^$F$30,$E$31/(1+(-0.1)/$C$9)^$F$31)&gt;=C21,SUM($E$27/(1+(1)/$C$9)^$F$27,$E$28/(1+(1)/$C$9)^$F$28,$E$29/(1+(1)/$C$9)^$F$29,$E$30/(1+(1)/$C$9)^$F$30,$E$31/(1+(1)/$C$9)^$F$31)&lt;=C21),(D90+E90)/2,"n.a."),"n.a.")</x:f>
        <x:v>0.02717823837697323</x:v>
      </x:c>
      <x:c r="D5" s="1"/>
      <x:c r="E5" s="1"/>
      <x:c r="F5" s="1"/>
      <x:c r="G5" s="1"/>
      <x:c r="H5" s="1"/>
      <x:c r="I5" s="1"/>
      <x:c r="J5" s="1"/>
    </x:row>
    <x:row r="6" ht="23" customHeight="1">
      <x:c r="A6" s="1"/>
      <x:c r="B6" s="10" t="str">
        <x:v>Effective annual yield</x:v>
      </x:c>
      <x:c r="C6" s="12" t="n">
        <x:f>IF(ISNUMBER(C5),(1+C5/C9)^C9-1,"n.a.")</x:f>
        <x:v>0.027178238376973196</x:v>
      </x:c>
      <x:c r="D6" s="1"/>
      <x:c r="E6" s="1"/>
      <x:c r="F6" s="1"/>
      <x:c r="G6" s="1"/>
      <x:c r="H6" s="1"/>
      <x:c r="I6" s="1"/>
      <x:c r="J6" s="1"/>
    </x:row>
    <x:row r="7" ht="23" customHeight="1">
      <x:c r="A7" s="1"/>
      <x:c r="B7" s="1"/>
      <x:c r="C7" s="13"/>
      <x:c r="D7" s="1"/>
      <x:c r="E7" s="1"/>
      <x:c r="F7" s="1"/>
      <x:c r="G7" s="1"/>
      <x:c r="H7" s="1"/>
      <x:c r="I7" s="1"/>
      <x:c r="J7" s="1"/>
    </x:row>
    <x:row r="8" ht="23" customHeight="1">
      <x:c r="A8" s="1"/>
      <x:c r="B8" s="1" t="str">
        <x:v>Annual coupon rate</x:v>
      </x:c>
      <x:c r="C8" s="14" t="n">
        <x:v>0.0272</x:v>
      </x:c>
      <x:c r="D8" s="1"/>
      <x:c r="E8" s="1"/>
      <x:c r="F8" s="1"/>
      <x:c r="G8" s="1"/>
      <x:c r="H8" s="28" t="str">
        <x:v>Nanjing Anju 2022 bond annual report, pp.23, 25: terms for 184575.</x:v>
      </x:c>
      <x:c r="I8" s="28"/>
      <x:c r="J8" s="28"/>
    </x:row>
    <x:row r="9" ht="23" customHeight="1">
      <x:c r="A9" s="1"/>
      <x:c r="B9" s="1" t="str">
        <x:v>Coupons per year</x:v>
      </x:c>
      <x:c r="C9" s="15" t="n">
        <x:v>1</x:v>
      </x:c>
      <x:c r="D9" s="1"/>
      <x:c r="E9" s="1"/>
      <x:c r="F9" s="1"/>
      <x:c r="G9" s="1"/>
      <x:c r="H9" s="28"/>
      <x:c r="I9" s="28"/>
      <x:c r="J9" s="28"/>
    </x:row>
    <x:row r="10" ht="23" customHeight="1">
      <x:c r="A10" s="1"/>
      <x:c r="B10" s="1" t="str">
        <x:v>Quoted price</x:v>
      </x:c>
      <x:c r="C10" s="16" t="n">
        <x:v>100</x:v>
      </x:c>
      <x:c r="D10" s="1"/>
      <x:c r="E10" s="1"/>
      <x:c r="F10" s="1"/>
      <x:c r="G10" s="1"/>
      <x:c r="H10" s="28"/>
      <x:c r="I10" s="28"/>
      <x:c r="J10" s="28"/>
    </x:row>
    <x:row r="11" ht="23" customHeight="1">
      <x:c r="A11" s="1"/>
      <x:c r="B11" s="1" t="str">
        <x:v>Price basis</x:v>
      </x:c>
      <x:c r="C11" s="1" t="str">
        <x:v>Clean</x:v>
      </x:c>
      <x:c r="D11" s="1"/>
      <x:c r="E11" s="1"/>
      <x:c r="F11" s="1"/>
      <x:c r="G11" s="1"/>
      <x:c r="H11" s="1"/>
      <x:c r="I11" s="1"/>
      <x:c r="J11" s="1"/>
    </x:row>
    <x:row r="12" ht="23" customHeight="1">
      <x:c r="A12" s="1"/>
      <x:c r="B12" s="1" t="str">
        <x:v>Model settlement date</x:v>
      </x:c>
      <x:c r="C12" s="17" t="n">
        <x:v>44998</x:v>
      </x:c>
      <x:c r="D12" s="1"/>
      <x:c r="E12" s="1"/>
      <x:c r="F12" s="1"/>
      <x:c r="G12" s="1"/>
      <x:c r="H12" s="28" t="str">
        <x:v>Settlement: 13 Mar 2023, assumed equal to observation date.</x:v>
      </x:c>
      <x:c r="I12" s="28"/>
      <x:c r="J12" s="28"/>
    </x:row>
    <x:row r="13" ht="23" customHeight="1">
      <x:c r="A13" s="1"/>
      <x:c r="B13" s="1" t="str">
        <x:v>Previous coupon date</x:v>
      </x:c>
      <x:c r="C13" s="17" t="n">
        <x:v>44818</x:v>
      </x:c>
      <x:c r="D13" s="1"/>
      <x:c r="E13" s="1"/>
      <x:c r="F13" s="1"/>
      <x:c r="G13" s="1"/>
      <x:c r="H13" s="28"/>
      <x:c r="I13" s="28"/>
      <x:c r="J13" s="28"/>
    </x:row>
    <x:row r="14" ht="23" customHeight="1">
      <x:c r="A14" s="1"/>
      <x:c r="B14" s="1" t="str">
        <x:v>Next coupon date</x:v>
      </x:c>
      <x:c r="C14" s="18" t="n">
        <x:f>B27</x:f>
        <x:v>45183</x:v>
      </x:c>
      <x:c r="D14" s="1"/>
      <x:c r="E14" s="1"/>
      <x:c r="F14" s="1"/>
      <x:c r="G14" s="1"/>
      <x:c r="H14" s="28"/>
      <x:c r="I14" s="28"/>
      <x:c r="J14" s="28"/>
    </x:row>
    <x:row r="15" ht="23" customHeight="1">
      <x:c r="A15" s="1"/>
      <x:c r="B15" s="1" t="str">
        <x:v>Contractual maturity</x:v>
      </x:c>
      <x:c r="C15" s="18" t="n">
        <x:f>B31</x:f>
        <x:v>46644</x:v>
      </x:c>
      <x:c r="D15" s="1"/>
      <x:c r="E15" s="1"/>
      <x:c r="F15" s="1"/>
      <x:c r="G15" s="1"/>
      <x:c r="H15" s="1"/>
      <x:c r="I15" s="1"/>
      <x:c r="J15" s="1"/>
    </x:row>
    <x:row r="16" ht="23" customHeight="1">
      <x:c r="A16" s="1"/>
      <x:c r="B16" s="1" t="str">
        <x:v>Coupon-period days</x:v>
      </x:c>
      <x:c r="C16" s="19" t="n">
        <x:f>C14-C13</x:f>
        <x:v>365</x:v>
      </x:c>
      <x:c r="D16" s="1"/>
      <x:c r="E16" s="1"/>
      <x:c r="F16" s="1"/>
      <x:c r="G16" s="1"/>
      <x:c r="H16" s="28" t="str">
        <x:v>PBOC 2007 formula attachment, printed p.4: actual coupon-period days.</x:v>
      </x:c>
      <x:c r="I16" s="28"/>
      <x:c r="J16" s="28"/>
    </x:row>
    <x:row r="17" ht="23" customHeight="1">
      <x:c r="A17" s="1"/>
      <x:c r="B17" s="1" t="str">
        <x:v>Accrued days</x:v>
      </x:c>
      <x:c r="C17" s="19" t="n">
        <x:f>C12-C13</x:f>
        <x:v>180</x:v>
      </x:c>
      <x:c r="D17" s="1"/>
      <x:c r="E17" s="1"/>
      <x:c r="F17" s="1"/>
      <x:c r="G17" s="1"/>
      <x:c r="H17" s="28"/>
      <x:c r="I17" s="28"/>
      <x:c r="J17" s="28"/>
    </x:row>
    <x:row r="18" ht="23" customHeight="1">
      <x:c r="A18" s="1"/>
      <x:c r="B18" s="1" t="str">
        <x:v>Redemption per 100 face</x:v>
      </x:c>
      <x:c r="C18" s="16" t="n">
        <x:v>100</x:v>
      </x:c>
      <x:c r="D18" s="1"/>
      <x:c r="E18" s="1"/>
      <x:c r="F18" s="1"/>
      <x:c r="G18" s="1"/>
      <x:c r="H18" s="28"/>
      <x:c r="I18" s="28"/>
      <x:c r="J18" s="28"/>
    </x:row>
    <x:row r="19" ht="23" customHeight="1">
      <x:c r="A19" s="1"/>
      <x:c r="B19" s="1"/>
      <x:c r="C19" s="20"/>
      <x:c r="D19" s="1"/>
      <x:c r="E19" s="1"/>
      <x:c r="F19" s="1"/>
      <x:c r="G19" s="1"/>
      <x:c r="H19" s="1"/>
      <x:c r="I19" s="1"/>
      <x:c r="J19" s="1"/>
    </x:row>
    <x:row r="20" ht="23" customHeight="1">
      <x:c r="A20" s="1"/>
      <x:c r="B20" s="1" t="str">
        <x:v>Accrued interest</x:v>
      </x:c>
      <x:c r="C20" s="21" t="n">
        <x:f>100*C8/C9*C17/C16</x:f>
        <x:v>1.3413698630136985</x:v>
      </x:c>
      <x:c r="D20" s="1"/>
      <x:c r="E20" s="1"/>
      <x:c r="F20" s="1"/>
      <x:c r="G20" s="1"/>
      <x:c r="H20" s="28" t="str">
        <x:v>Accrual: annual coupon / frequency × elapsed / period days.</x:v>
      </x:c>
      <x:c r="I20" s="28"/>
      <x:c r="J20" s="28"/>
    </x:row>
    <x:row r="21" ht="23" customHeight="1">
      <x:c r="A21" s="1"/>
      <x:c r="B21" s="1" t="str">
        <x:v>Full settlement price</x:v>
      </x:c>
      <x:c r="C21" s="21" t="n">
        <x:f>IF(COUNT(C10)=0,"n.a.",IF(C11="Clean",C10+C20,C10))</x:f>
        <x:v>101.3413698630137</x:v>
      </x:c>
      <x:c r="D21" s="1"/>
      <x:c r="E21" s="1"/>
      <x:c r="F21" s="1"/>
      <x:c r="G21" s="1"/>
      <x:c r="H21" s="28"/>
      <x:c r="I21" s="28"/>
      <x:c r="J21" s="28"/>
    </x:row>
    <x:row r="22" ht="23" customHeight="1">
      <x:c r="A22" s="1"/>
      <x:c r="B22" s="1" t="str">
        <x:v>Quoted yield in coursework</x:v>
      </x:c>
      <x:c r="C22" s="14" t="n">
        <x:v>0.0272</x:v>
      </x:c>
      <x:c r="D22" s="1"/>
      <x:c r="E22" s="1"/>
      <x:c r="F22" s="1"/>
      <x:c r="G22" s="1"/>
      <x:c r="H22" s="28"/>
      <x:c r="I22" s="28"/>
      <x:c r="J22" s="28"/>
    </x:row>
    <x:row r="23" ht="23" customHeight="1">
      <x:c r="A23" s="1"/>
      <x:c r="B23" s="1" t="str">
        <x:v>Current yield on clean price</x:v>
      </x:c>
      <x:c r="C23" s="22" t="n">
        <x:f>IF(AND(COUNT(C10)=1,C10&gt;0),100*C8/(C21-C20),"n.a.")</x:f>
        <x:v>0.0272</x:v>
      </x:c>
      <x:c r="D23" s="1"/>
      <x:c r="E23" s="1"/>
      <x:c r="F23" s="1"/>
      <x:c r="G23" s="1"/>
      <x:c r="H23" s="1"/>
      <x:c r="I23" s="1"/>
      <x:c r="J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23" customHeight="1">
      <x:c r="A25" s="1"/>
      <x:c r="B25" s="1"/>
      <x:c r="C25" s="1"/>
      <x:c r="D25" s="1"/>
      <x:c r="E25" s="1"/>
      <x:c r="F25" s="1"/>
      <x:c r="G25" s="1"/>
      <x:c r="H25" s="1"/>
      <x:c r="I25" s="1"/>
      <x:c r="J25" s="1"/>
    </x:row>
    <x:row r="26" ht="40" customHeight="1">
      <x:c r="A26" s="1"/>
      <x:c r="B26" s="25" t="str">
        <x:v>Coupon date</x:v>
      </x:c>
      <x:c r="C26" s="25" t="str">
        <x:v>Coupon</x:v>
      </x:c>
      <x:c r="D26" s="25" t="str">
        <x:v>Principal</x:v>
      </x:c>
      <x:c r="E26" s="25" t="str">
        <x:v>Cash flow</x:v>
      </x:c>
      <x:c r="F26" s="26" t="str">
        <x:v>Periods from settlement</x:v>
      </x:c>
      <x:c r="G26" s="1"/>
      <x:c r="H26" s="28" t="str">
        <x:v>Price: Yield to Maturity and Selection of Debt Funds (2), 2023 working draft.</x:v>
      </x:c>
      <x:c r="I26" s="28"/>
      <x:c r="J26" s="28"/>
    </x:row>
    <x:row r="27" ht="23" customHeight="1">
      <x:c r="A27" s="1"/>
      <x:c r="B27" s="17" t="n">
        <x:v>45183</x:v>
      </x:c>
      <x:c r="C27" s="21" t="n">
        <x:f>100*$C$8/$C$9</x:f>
        <x:v>2.7199999999999998</x:v>
      </x:c>
      <x:c r="D27" s="21" t="n">
        <x:f>0</x:f>
        <x:v>0</x:v>
      </x:c>
      <x:c r="E27" s="21" t="n">
        <x:f>C27+D27</x:f>
        <x:v>2.7199999999999998</x:v>
      </x:c>
      <x:c r="F27" s="21" t="n">
        <x:f>($C$14-$C$12)/$C$16+0</x:f>
        <x:v>0.5068493150684932</x:v>
      </x:c>
      <x:c r="G27" s="1"/>
      <x:c r="H27" s="28"/>
      <x:c r="I27" s="28"/>
      <x:c r="J27" s="28"/>
    </x:row>
    <x:row r="28" ht="23" customHeight="1">
      <x:c r="A28" s="1"/>
      <x:c r="B28" s="17" t="n">
        <x:v>45549</x:v>
      </x:c>
      <x:c r="C28" s="21" t="n">
        <x:f>100*$C$8/$C$9</x:f>
        <x:v>2.7199999999999998</x:v>
      </x:c>
      <x:c r="D28" s="21" t="n">
        <x:f>0</x:f>
        <x:v>0</x:v>
      </x:c>
      <x:c r="E28" s="21" t="n">
        <x:f>C28+D28</x:f>
        <x:v>2.7199999999999998</x:v>
      </x:c>
      <x:c r="F28" s="21" t="n">
        <x:f>($C$14-$C$12)/$C$16+1</x:f>
        <x:v>1.5068493150684932</x:v>
      </x:c>
      <x:c r="G28" s="1"/>
      <x:c r="H28" s="28"/>
      <x:c r="I28" s="28"/>
      <x:c r="J28" s="28"/>
    </x:row>
    <x:row r="29" ht="23" customHeight="1">
      <x:c r="A29" s="1"/>
      <x:c r="B29" s="17" t="n">
        <x:v>45914</x:v>
      </x:c>
      <x:c r="C29" s="21" t="n">
        <x:f>100*$C$8/$C$9</x:f>
        <x:v>2.7199999999999998</x:v>
      </x:c>
      <x:c r="D29" s="21" t="n">
        <x:f>0</x:f>
        <x:v>0</x:v>
      </x:c>
      <x:c r="E29" s="21" t="n">
        <x:f>C29+D29</x:f>
        <x:v>2.7199999999999998</x:v>
      </x:c>
      <x:c r="F29" s="21" t="n">
        <x:f>($C$14-$C$12)/$C$16+2</x:f>
        <x:v>2.506849315068493</x:v>
      </x:c>
      <x:c r="G29" s="1"/>
      <x:c r="H29" s="1"/>
      <x:c r="I29" s="1"/>
      <x:c r="J29" s="1"/>
    </x:row>
    <x:row r="30" ht="23" customHeight="1">
      <x:c r="A30" s="1"/>
      <x:c r="B30" s="17" t="n">
        <x:v>46279</x:v>
      </x:c>
      <x:c r="C30" s="21" t="n">
        <x:f>100*$C$8/$C$9</x:f>
        <x:v>2.7199999999999998</x:v>
      </x:c>
      <x:c r="D30" s="21" t="n">
        <x:f>0</x:f>
        <x:v>0</x:v>
      </x:c>
      <x:c r="E30" s="21" t="n">
        <x:f>C30+D30</x:f>
        <x:v>2.7199999999999998</x:v>
      </x:c>
      <x:c r="F30" s="21" t="n">
        <x:f>($C$14-$C$12)/$C$16+3</x:f>
        <x:v>3.506849315068493</x:v>
      </x:c>
      <x:c r="G30" s="1"/>
      <x:c r="H30" s="28" t="str">
        <x:v>Clean-price treatment is an assumption. Select Full to test the alternative.</x:v>
      </x:c>
      <x:c r="I30" s="28"/>
      <x:c r="J30" s="28"/>
    </x:row>
    <x:row r="31" ht="23" customHeight="1">
      <x:c r="A31" s="1"/>
      <x:c r="B31" s="17" t="n">
        <x:v>46644</x:v>
      </x:c>
      <x:c r="C31" s="21" t="n">
        <x:f>100*$C$8/$C$9</x:f>
        <x:v>2.7199999999999998</x:v>
      </x:c>
      <x:c r="D31" s="21" t="n">
        <x:f>$C$18</x:f>
        <x:v>100</x:v>
      </x:c>
      <x:c r="E31" s="21" t="n">
        <x:f>C31+D31</x:f>
        <x:v>102.72</x:v>
      </x:c>
      <x:c r="F31" s="21" t="n">
        <x:f>($C$14-$C$12)/$C$16+4</x:f>
        <x:v>4.506849315068493</x:v>
      </x:c>
      <x:c r="G31" s="1"/>
      <x:c r="H31" s="28"/>
      <x:c r="I31" s="28"/>
      <x:c r="J31" s="28"/>
    </x:row>
    <x:row r="32" ht="23" customHeight="1">
      <x:c r="A32" s="1"/>
      <x:c r="B32" s="1"/>
      <x:c r="C32" s="1"/>
      <x:c r="D32" s="1"/>
      <x:c r="E32" s="1"/>
      <x:c r="F32" s="1"/>
      <x:c r="G32" s="1"/>
      <x:c r="H32" s="28"/>
      <x:c r="I32" s="28"/>
      <x:c r="J32" s="28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3" customHeight="1">
      <x:c r="A34" s="1"/>
      <x:c r="B34" s="1" t="str">
        <x:v>Price at YTM - 100 bp</x:v>
      </x:c>
      <x:c r="C34" s="21" t="n">
        <x:f>IF(ISNUMBER(C5),SUM($E$27/(1+($C$5-0.01)/$C$9)^$F$27,$E$28/(1+($C$5-0.01)/$C$9)^$F$28,$E$29/(1+($C$5-0.01)/$C$9)^$F$29,$E$30/(1+($C$5-0.01)/$C$9)^$F$30,$E$31/(1+($C$5-0.01)/$C$9)^$F$31)-$C$20,"n.a.")</x:f>
        <x:v>104.30494440227811</x:v>
      </x:c>
      <x:c r="D34" s="1"/>
      <x:c r="E34" s="1"/>
      <x:c r="F34" s="1"/>
      <x:c r="G34" s="1"/>
      <x:c r="H34" s="28" t="str">
        <x:v>Quoted yield: original coursework, 13 Mar 2023.</x:v>
      </x:c>
      <x:c r="I34" s="28"/>
      <x:c r="J34" s="28"/>
    </x:row>
    <x:row r="35" ht="23" customHeight="1">
      <x:c r="A35" s="1"/>
      <x:c r="B35" s="1" t="str">
        <x:v>Price at YTM + 100 bp</x:v>
      </x:c>
      <x:c r="C35" s="21" t="n">
        <x:f>IF(ISNUMBER(C5),SUM($E$27/(1+($C$5+0.01)/$C$9)^$F$27,$E$28/(1+($C$5+0.01)/$C$9)^$F$28,$E$29/(1+($C$5+0.01)/$C$9)^$F$29,$E$30/(1+($C$5+0.01)/$C$9)^$F$30,$E$31/(1+($C$5+0.01)/$C$9)^$F$31)-$C$20,"n.a.")</x:f>
        <x:v>95.91621529940548</x:v>
      </x:c>
      <x:c r="D35" s="1"/>
      <x:c r="E35" s="1"/>
      <x:c r="F35" s="1"/>
      <x:c r="G35" s="1"/>
      <x:c r="H35" s="28"/>
      <x:c r="I35" s="28"/>
      <x:c r="J35" s="28"/>
    </x:row>
    <x:row r="36" ht="23" customHeight="1">
      <x:c r="A36" s="1"/>
      <x:c r="B36" s="1"/>
      <x:c r="C36" s="1"/>
      <x:c r="D36" s="1"/>
      <x:c r="E36" s="1"/>
      <x:c r="F36" s="1"/>
      <x:c r="G36" s="1"/>
      <x:c r="H36" s="28"/>
      <x:c r="I36" s="28"/>
      <x:c r="J36" s="28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3" customHeight="1">
      <x:c r="A38" s="1"/>
      <x:c r="B38" s="1" t="str">
        <x:v>Put date (3-year option)</x:v>
      </x:c>
      <x:c r="C38" s="18" t="n">
        <x:f>B29</x:f>
        <x:v>45914</x:v>
      </x:c>
      <x:c r="D38" s="1"/>
      <x:c r="E38" s="1"/>
      <x:c r="F38" s="1"/>
      <x:c r="G38" s="1"/>
      <x:c r="H38" s="28" t="str">
        <x:v>Schedule dates are contractual, without holiday shifts or tax deductions.</x:v>
      </x:c>
      <x:c r="I38" s="28"/>
      <x:c r="J38" s="28"/>
    </x:row>
    <x:row r="39" ht="23" customHeight="1">
      <x:c r="A39" s="1"/>
      <x:c r="B39" s="1" t="str">
        <x:v>Yield to put at par</x:v>
      </x:c>
      <x:c r="C39" s="22" t="n">
        <x:f>IF(ISNUMBER(C5),IF(AND(SUM($C$29/(1+(-0.1)/$C$9)^$F$27,$C$29/(1+(-0.1)/$C$9)^$F$28,($C$29+$C$18)/(1+(-0.1)/$C$9)^$F$29)&gt;=C21,SUM($C$29/(1+(1)/$C$9)^$F$27,$C$29/(1+(1)/$C$9)^$F$28,($C$29+$C$18)/(1+(1)/$C$9)^$F$29)&lt;=C21),(G90+H90)/2,"n.a."),"n.a.")</x:f>
        <x:v>0.02716191943377452</x:v>
      </x:c>
      <x:c r="D39" s="1"/>
      <x:c r="E39" s="1"/>
      <x:c r="F39" s="1"/>
      <x:c r="G39" s="1"/>
      <x:c r="H39" s="28"/>
      <x:c r="I39" s="28"/>
      <x:c r="J39" s="28"/>
    </x:row>
    <x:row r="40" ht="23" customHeight="1">
      <x:c r="A40" s="1"/>
      <x:c r="B40" s="1"/>
      <x:c r="C40" s="1"/>
      <x:c r="D40" s="1"/>
      <x:c r="E40" s="1"/>
      <x:c r="F40" s="1"/>
      <x:c r="G40" s="1"/>
      <x:c r="H40" s="28"/>
      <x:c r="I40" s="28"/>
      <x:c r="J40" s="28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3" customHeight="1">
      <x:c r="A42" s="1"/>
      <x:c r="B42" s="5" t="str">
        <x:v>YTM assumes the 2.72% coupon continues after the 2025 reset option.</x:v>
      </x:c>
      <x:c r="C42" s="1"/>
      <x:c r="D42" s="1"/>
      <x:c r="E42" s="1"/>
      <x:c r="F42" s="1"/>
      <x:c r="G42" s="1"/>
      <x:c r="H42" s="28" t="str">
        <x:v>Settlement changes are supported within the stated coupon period only.</x:v>
      </x:c>
      <x:c r="I42" s="28"/>
      <x:c r="J42" s="28"/>
    </x:row>
    <x:row r="43" ht="23" customHeight="1">
      <x:c r="A43" s="1"/>
      <x:c r="B43" s="5" t="str">
        <x:v>YTP assumes eligible exercise and par payment on the contractual put date.</x:v>
      </x:c>
      <x:c r="C43" s="1"/>
      <x:c r="D43" s="1"/>
      <x:c r="E43" s="1"/>
      <x:c r="F43" s="1"/>
      <x:c r="G43" s="1"/>
      <x:c r="H43" s="28"/>
      <x:c r="I43" s="28"/>
      <x:c r="J43" s="28"/>
    </x:row>
    <x:row r="44" ht="23" customHeight="1">
      <x:c r="A44" s="1"/>
      <x:c r="B44" s="1"/>
      <x:c r="C44" s="1"/>
      <x:c r="D44" s="1"/>
      <x:c r="E44" s="1"/>
      <x:c r="F44" s="1"/>
      <x:c r="G44" s="1"/>
      <x:c r="H44" s="28"/>
      <x:c r="I44" s="28"/>
      <x:c r="J44" s="28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3" customHeight="1">
      <x:c r="A47" s="1"/>
      <x:c r="B47" s="1" t="str">
        <x:v>Yield calculation — bisection</x:v>
      </x:c>
      <x:c r="C47" s="1"/>
      <x:c r="D47" s="1"/>
      <x:c r="E47" s="1"/>
      <x:c r="F47" s="1"/>
      <x:c r="G47" s="1"/>
      <x:c r="H47" s="1"/>
      <x:c r="I47" s="1"/>
      <x:c r="J47" s="1"/>
    </x:row>
    <x:row r="48" ht="23" customHeight="1">
      <x:c r="A48" s="1"/>
      <x:c r="B48" s="5" t="str">
        <x:v>Solve full price = discounted scheduled cash flows. Bounds: -10% to 100%.</x:v>
      </x:c>
      <x:c r="C48" s="1"/>
      <x:c r="D48" s="1"/>
      <x:c r="E48" s="1"/>
      <x:c r="F48" s="1"/>
      <x:c r="G48" s="1"/>
      <x:c r="H48" s="1"/>
      <x:c r="I48" s="1"/>
      <x:c r="J48" s="1"/>
    </x:row>
    <x:row r="49" ht="29" customHeight="1">
      <x:c r="A49" s="1"/>
      <x:c r="B49" s="25" t="str">
        <x:v>Iteration</x:v>
      </x:c>
      <x:c r="C49" s="25" t="str">
        <x:v>Trial yield</x:v>
      </x:c>
      <x:c r="D49" s="25" t="str">
        <x:v>Lower yield</x:v>
      </x:c>
      <x:c r="E49" s="25" t="str">
        <x:v>Upper yield</x:v>
      </x:c>
      <x:c r="F49" s="25" t="str">
        <x:v>Full price at trial</x:v>
      </x:c>
      <x:c r="G49" s="25" t="str">
        <x:v>Put lower yield</x:v>
      </x:c>
      <x:c r="H49" s="25" t="str">
        <x:v>Put upper yield</x:v>
      </x:c>
      <x:c r="I49" s="25" t="str">
        <x:v>Put full price</x:v>
      </x:c>
      <x:c r="J49" s="1"/>
    </x:row>
    <x:row r="50" ht="23" customHeight="1">
      <x:c r="A50" s="1"/>
      <x:c r="B50" s="6" t="n">
        <x:v>0</x:v>
      </x:c>
      <x:c r="C50" s="29" t="n">
        <x:f>(D50+E50)/2</x:f>
        <x:v>0.45</x:v>
      </x:c>
      <x:c r="D50" s="29" t="n">
        <x:f>-0.1</x:f>
        <x:v>-0.1</x:v>
      </x:c>
      <x:c r="E50" s="29" t="n">
        <x:f>1</x:f>
        <x:v>1</x:v>
      </x:c>
      <x:c r="F50" s="30" t="n">
        <x:f>SUM($E$27/(1+C50/$C$9)^$F$27,$E$28/(1+C50/$C$9)^$F$28,$E$29/(1+C50/$C$9)^$F$29,$E$30/(1+C50/$C$9)^$F$30,$E$31/(1+C50/$C$9)^$F$31)</x:f>
        <x:v>24.865995246298745</x:v>
      </x:c>
      <x:c r="G50" s="29" t="n">
        <x:f>-0.1</x:f>
        <x:v>-0.1</x:v>
      </x:c>
      <x:c r="H50" s="29" t="n">
        <x:f>1</x:f>
        <x:v>1</x:v>
      </x:c>
      <x:c r="I50" s="30" t="n">
        <x:f>SUM($C$29/(1+((G50+H50)/2)/$C$9)^$F$27,$C$29/(1+((G50+H50)/2)/$C$9)^$F$28,($C$29+$C$18)/(1+((G50+H50)/2)/$C$9)^$F$29)</x:f>
        <x:v>44.276632459216465</x:v>
      </x:c>
      <x:c r="J50" s="1"/>
    </x:row>
    <x:row r="51" ht="23" customHeight="1">
      <x:c r="A51" s="1"/>
      <x:c r="B51" s="6" t="n">
        <x:v>1</x:v>
      </x:c>
      <x:c r="C51" s="29" t="n">
        <x:f>(D51+E51)/2</x:f>
        <x:v>0.175</x:v>
      </x:c>
      <x:c r="D51" s="29" t="n">
        <x:f>IF(F50&gt;$C$21,C50,D50)</x:f>
        <x:v>-0.1</x:v>
      </x:c>
      <x:c r="E51" s="29" t="n">
        <x:f>IF(F50&gt;$C$21,E50,C50)</x:f>
        <x:v>0.45</x:v>
      </x:c>
      <x:c r="F51" s="30" t="n">
        <x:f>SUM($E$27/(1+C51/$C$9)^$F$27,$E$28/(1+C51/$C$9)^$F$28,$E$29/(1+C51/$C$9)^$F$29,$E$30/(1+C51/$C$9)^$F$30,$E$31/(1+C51/$C$9)^$F$31)</x:f>
        <x:v>57.66010414205857</x:v>
      </x:c>
      <x:c r="G51" s="29" t="n">
        <x:f>IF(I50&gt;$C$21,(G50+H50)/2,G50)</x:f>
        <x:v>-0.1</x:v>
      </x:c>
      <x:c r="H51" s="29" t="n">
        <x:f>IF(I50&gt;$C$21,H50,(G50+H50)/2)</x:f>
        <x:v>0.45</x:v>
      </x:c>
      <x:c r="I51" s="30" t="n">
        <x:f>SUM($C$29/(1+((G51+H51)/2)/$C$9)^$F$27,$C$29/(1+((G51+H51)/2)/$C$9)^$F$28,($C$29+$C$18)/(1+((G51+H51)/2)/$C$9)^$F$29)</x:f>
        <x:v>73.20126960161444</x:v>
      </x:c>
      <x:c r="J51" s="1"/>
    </x:row>
    <x:row r="52" ht="23" customHeight="1">
      <x:c r="A52" s="1"/>
      <x:c r="B52" s="6" t="n">
        <x:v>2</x:v>
      </x:c>
      <x:c r="C52" s="29" t="n">
        <x:f>(D52+E52)/2</x:f>
        <x:v>0.03749999999999999</x:v>
      </x:c>
      <x:c r="D52" s="29" t="n">
        <x:f>IF(F51&gt;$C$21,C51,D51)</x:f>
        <x:v>-0.1</x:v>
      </x:c>
      <x:c r="E52" s="29" t="n">
        <x:f>IF(F51&gt;$C$21,E51,C51)</x:f>
        <x:v>0.175</x:v>
      </x:c>
      <x:c r="F52" s="30" t="n">
        <x:f>SUM($E$27/(1+C52/$C$9)^$F$27,$E$28/(1+C52/$C$9)^$F$28,$E$29/(1+C52/$C$9)^$F$29,$E$30/(1+C52/$C$9)^$F$30,$E$31/(1+C52/$C$9)^$F$31)</x:f>
        <x:v>97.12970373210977</x:v>
      </x:c>
      <x:c r="G52" s="29" t="n">
        <x:f>IF(I51&gt;$C$21,(G51+H51)/2,G51)</x:f>
        <x:v>-0.1</x:v>
      </x:c>
      <x:c r="H52" s="29" t="n">
        <x:f>IF(I51&gt;$C$21,H51,(G51+H51)/2)</x:f>
        <x:v>0.175</x:v>
      </x:c>
      <x:c r="I52" s="30" t="n">
        <x:f>SUM($C$29/(1+((G52+H52)/2)/$C$9)^$F$27,$C$29/(1+((G52+H52)/2)/$C$9)^$F$28,($C$29+$C$18)/(1+((G52+H52)/2)/$C$9)^$F$29)</x:f>
        <x:v>98.90748718797272</x:v>
      </x:c>
      <x:c r="J52" s="1"/>
    </x:row>
    <x:row r="53" ht="23" customHeight="1">
      <x:c r="A53" s="1"/>
      <x:c r="B53" s="6" t="n">
        <x:v>3</x:v>
      </x:c>
      <x:c r="C53" s="29" t="n">
        <x:f>(D53+E53)/2</x:f>
        <x:v>-0.03125000000000001</x:v>
      </x:c>
      <x:c r="D53" s="29" t="n">
        <x:f>IF(F52&gt;$C$21,C52,D52)</x:f>
        <x:v>-0.1</x:v>
      </x:c>
      <x:c r="E53" s="29" t="n">
        <x:f>IF(F52&gt;$C$21,E52,C52)</x:f>
        <x:v>0.03749999999999999</x:v>
      </x:c>
      <x:c r="F53" s="30" t="n">
        <x:f>SUM($E$27/(1+C53/$C$9)^$F$27,$E$28/(1+C53/$C$9)^$F$28,$E$29/(1+C53/$C$9)^$F$29,$E$30/(1+C53/$C$9)^$F$30,$E$31/(1+C53/$C$9)^$F$31)</x:f>
        <x:v>130.12447342986266</x:v>
      </x:c>
      <x:c r="G53" s="29" t="n">
        <x:f>IF(I52&gt;$C$21,(G52+H52)/2,G52)</x:f>
        <x:v>-0.1</x:v>
      </x:c>
      <x:c r="H53" s="29" t="n">
        <x:f>IF(I52&gt;$C$21,H52,(G52+H52)/2)</x:f>
        <x:v>0.03749999999999999</x:v>
      </x:c>
      <x:c r="I53" s="30" t="n">
        <x:f>SUM($C$29/(1+((G53+H53)/2)/$C$9)^$F$27,$C$29/(1+((G53+H53)/2)/$C$9)^$F$28,($C$29+$C$18)/(1+((G53+H53)/2)/$C$9)^$F$29)</x:f>
        <x:v>116.84695823435533</x:v>
      </x:c>
      <x:c r="J53" s="1"/>
    </x:row>
    <x:row r="54" ht="23" customHeight="1">
      <x:c r="A54" s="1"/>
      <x:c r="B54" s="6" t="n">
        <x:v>4</x:v>
      </x:c>
      <x:c r="C54" s="29" t="n">
        <x:f>(D54+E54)/2</x:f>
        <x:v>0.0031249999999999924</x:v>
      </x:c>
      <x:c r="D54" s="29" t="n">
        <x:f>IF(F53&gt;$C$21,C53,D53)</x:f>
        <x:v>-0.03125000000000001</x:v>
      </x:c>
      <x:c r="E54" s="29" t="n">
        <x:f>IF(F53&gt;$C$21,E53,C53)</x:f>
        <x:v>0.03749999999999999</x:v>
      </x:c>
      <x:c r="F54" s="30" t="n">
        <x:f>SUM($E$27/(1+C54/$C$9)^$F$27,$E$28/(1+C54/$C$9)^$F$28,$E$29/(1+C54/$C$9)^$F$29,$E$30/(1+C54/$C$9)^$F$30,$E$31/(1+C54/$C$9)^$F$31)</x:f>
        <x:v>112.09781768714163</x:v>
      </x:c>
      <x:c r="G54" s="29" t="n">
        <x:f>IF(I53&gt;$C$21,(G53+H53)/2,G53)</x:f>
        <x:v>-0.03125000000000001</x:v>
      </x:c>
      <x:c r="H54" s="29" t="n">
        <x:f>IF(I53&gt;$C$21,H53,(G53+H53)/2)</x:f>
        <x:v>0.03749999999999999</x:v>
      </x:c>
      <x:c r="I54" s="30" t="n">
        <x:f>SUM($C$29/(1+((G54+H54)/2)/$C$9)^$F$27,$C$29/(1+((G54+H54)/2)/$C$9)^$F$28,($C$29+$C$18)/(1+((G54+H54)/2)/$C$9)^$F$29)</x:f>
        <x:v>107.34263373131384</x:v>
      </x:c>
      <x:c r="J54" s="1"/>
    </x:row>
    <x:row r="55" ht="23" customHeight="1">
      <x:c r="A55" s="1"/>
      <x:c r="B55" s="6" t="n">
        <x:v>5</x:v>
      </x:c>
      <x:c r="C55" s="29" t="n">
        <x:f>(D55+E55)/2</x:f>
        <x:v>0.02031249999999999</x:v>
      </x:c>
      <x:c r="D55" s="29" t="n">
        <x:f>IF(F54&gt;$C$21,C54,D54)</x:f>
        <x:v>0.0031249999999999924</x:v>
      </x:c>
      <x:c r="E55" s="29" t="n">
        <x:f>IF(F54&gt;$C$21,E54,C54)</x:f>
        <x:v>0.03749999999999999</x:v>
      </x:c>
      <x:c r="F55" s="30" t="n">
        <x:f>SUM($E$27/(1+C55/$C$9)^$F$27,$E$28/(1+C55/$C$9)^$F$28,$E$29/(1+C55/$C$9)^$F$29,$E$30/(1+C55/$C$9)^$F$30,$E$31/(1+C55/$C$9)^$F$31)</x:f>
        <x:v>104.27238517102055</x:v>
      </x:c>
      <x:c r="G55" s="29" t="n">
        <x:f>IF(I54&gt;$C$21,(G54+H54)/2,G54)</x:f>
        <x:v>0.0031249999999999924</x:v>
      </x:c>
      <x:c r="H55" s="29" t="n">
        <x:f>IF(I54&gt;$C$21,H54,(G54+H54)/2)</x:f>
        <x:v>0.03749999999999999</x:v>
      </x:c>
      <x:c r="I55" s="30" t="n">
        <x:f>SUM($C$29/(1+((G55+H55)/2)/$C$9)^$F$27,$C$29/(1+((G55+H55)/2)/$C$9)^$F$28,($C$29+$C$18)/(1+((G55+H55)/2)/$C$9)^$F$29)</x:f>
        <x:v>103.00145727154799</x:v>
      </x:c>
      <x:c r="J55" s="1"/>
    </x:row>
    <x:row r="56" ht="23" customHeight="1">
      <x:c r="A56" s="1"/>
      <x:c r="B56" s="6" t="n">
        <x:v>6</x:v>
      </x:c>
      <x:c r="C56" s="29" t="n">
        <x:f>(D56+E56)/2</x:f>
        <x:v>0.02890624999999999</x:v>
      </x:c>
      <x:c r="D56" s="29" t="n">
        <x:f>IF(F55&gt;$C$21,C55,D55)</x:f>
        <x:v>0.02031249999999999</x:v>
      </x:c>
      <x:c r="E56" s="29" t="n">
        <x:f>IF(F55&gt;$C$21,E55,C55)</x:f>
        <x:v>0.03749999999999999</x:v>
      </x:c>
      <x:c r="F56" s="30" t="n">
        <x:f>SUM($E$27/(1+C56/$C$9)^$F$27,$E$28/(1+C56/$C$9)^$F$28,$E$29/(1+C56/$C$9)^$F$29,$E$30/(1+C56/$C$9)^$F$30,$E$31/(1+C56/$C$9)^$F$31)</x:f>
        <x:v>100.62026778545437</x:v>
      </x:c>
      <x:c r="G56" s="29" t="n">
        <x:f>IF(I55&gt;$C$21,(G55+H55)/2,G55)</x:f>
        <x:v>0.02031249999999999</x:v>
      </x:c>
      <x:c r="H56" s="29" t="n">
        <x:f>IF(I55&gt;$C$21,H55,(G55+H55)/2)</x:f>
        <x:v>0.03749999999999999</x:v>
      </x:c>
      <x:c r="I56" s="30" t="n">
        <x:f>SUM($C$29/(1+((G56+H56)/2)/$C$9)^$F$27,$C$29/(1+((G56+H56)/2)/$C$9)^$F$28,($C$29+$C$18)/(1+((G56+H56)/2)/$C$9)^$F$29)</x:f>
        <x:v>100.92472674203516</x:v>
      </x:c>
      <x:c r="J56" s="1"/>
    </x:row>
    <x:row r="57" ht="23" customHeight="1">
      <x:c r="A57" s="1"/>
      <x:c r="B57" s="6" t="n">
        <x:v>7</x:v>
      </x:c>
      <x:c r="C57" s="29" t="n">
        <x:f>(D57+E57)/2</x:f>
        <x:v>0.02460937499999999</x:v>
      </x:c>
      <x:c r="D57" s="29" t="n">
        <x:f>IF(F56&gt;$C$21,C56,D56)</x:f>
        <x:v>0.02031249999999999</x:v>
      </x:c>
      <x:c r="E57" s="29" t="n">
        <x:f>IF(F56&gt;$C$21,E56,C56)</x:f>
        <x:v>0.02890624999999999</x:v>
      </x:c>
      <x:c r="F57" s="30" t="n">
        <x:f>SUM($E$27/(1+C57/$C$9)^$F$27,$E$28/(1+C57/$C$9)^$F$28,$E$29/(1+C57/$C$9)^$F$29,$E$30/(1+C57/$C$9)^$F$30,$E$31/(1+C57/$C$9)^$F$31)</x:f>
        <x:v>102.42558373261325</x:v>
      </x:c>
      <x:c r="G57" s="29" t="n">
        <x:f>IF(I56&gt;$C$21,(G56+H56)/2,G56)</x:f>
        <x:v>0.02031249999999999</x:v>
      </x:c>
      <x:c r="H57" s="29" t="n">
        <x:f>IF(I56&gt;$C$21,H56,(G56+H56)/2)</x:f>
        <x:v>0.02890624999999999</x:v>
      </x:c>
      <x:c r="I57" s="30" t="n">
        <x:f>SUM($C$29/(1+((G57+H57)/2)/$C$9)^$F$27,$C$29/(1+((G57+H57)/2)/$C$9)^$F$28,($C$29+$C$18)/(1+((G57+H57)/2)/$C$9)^$F$29)</x:f>
        <x:v>101.95551537843691</x:v>
      </x:c>
      <x:c r="J57" s="1"/>
    </x:row>
    <x:row r="58" ht="23" customHeight="1">
      <x:c r="A58" s="1"/>
      <x:c r="B58" s="6" t="n">
        <x:v>8</x:v>
      </x:c>
      <x:c r="C58" s="29" t="n">
        <x:f>(D58+E58)/2</x:f>
        <x:v>0.02675781249999999</x:v>
      </x:c>
      <x:c r="D58" s="29" t="n">
        <x:f>IF(F57&gt;$C$21,C57,D57)</x:f>
        <x:v>0.02460937499999999</x:v>
      </x:c>
      <x:c r="E58" s="29" t="n">
        <x:f>IF(F57&gt;$C$21,E57,C57)</x:f>
        <x:v>0.02890624999999999</x:v>
      </x:c>
      <x:c r="F58" s="30" t="n">
        <x:f>SUM($E$27/(1+C58/$C$9)^$F$27,$E$28/(1+C58/$C$9)^$F$28,$E$29/(1+C58/$C$9)^$F$29,$E$30/(1+C58/$C$9)^$F$30,$E$31/(1+C58/$C$9)^$F$31)</x:f>
        <x:v>101.51780998587691</x:v>
      </x:c>
      <x:c r="G58" s="29" t="n">
        <x:f>IF(I57&gt;$C$21,(G57+H57)/2,G57)</x:f>
        <x:v>0.02460937499999999</x:v>
      </x:c>
      <x:c r="H58" s="29" t="n">
        <x:f>IF(I57&gt;$C$21,H57,(G57+H57)/2)</x:f>
        <x:v>0.02890624999999999</x:v>
      </x:c>
      <x:c r="I58" s="30" t="n">
        <x:f>SUM($C$29/(1+((G58+H58)/2)/$C$9)^$F$27,$C$29/(1+((G58+H58)/2)/$C$9)^$F$28,($C$29+$C$18)/(1+((G58+H58)/2)/$C$9)^$F$29)</x:f>
        <x:v>101.43824468726334</x:v>
      </x:c>
      <x:c r="J58" s="1"/>
    </x:row>
    <x:row r="59" ht="23" customHeight="1">
      <x:c r="A59" s="1"/>
      <x:c r="B59" s="6" t="n">
        <x:v>9</x:v>
      </x:c>
      <x:c r="C59" s="29" t="n">
        <x:f>(D59+E59)/2</x:f>
        <x:v>0.027832031249999993</x:v>
      </x:c>
      <x:c r="D59" s="29" t="n">
        <x:f>IF(F58&gt;$C$21,C58,D58)</x:f>
        <x:v>0.02675781249999999</x:v>
      </x:c>
      <x:c r="E59" s="29" t="n">
        <x:f>IF(F58&gt;$C$21,E58,C58)</x:f>
        <x:v>0.02890624999999999</x:v>
      </x:c>
      <x:c r="F59" s="30" t="n">
        <x:f>SUM($E$27/(1+C59/$C$9)^$F$27,$E$28/(1+C59/$C$9)^$F$28,$E$29/(1+C59/$C$9)^$F$29,$E$30/(1+C59/$C$9)^$F$30,$E$31/(1+C59/$C$9)^$F$31)</x:f>
        <x:v>101.06776856233579</x:v>
      </x:c>
      <x:c r="G59" s="29" t="n">
        <x:f>IF(I58&gt;$C$21,(G58+H58)/2,G58)</x:f>
        <x:v>0.02675781249999999</x:v>
      </x:c>
      <x:c r="H59" s="29" t="n">
        <x:f>IF(I58&gt;$C$21,H58,(G58+H58)/2)</x:f>
        <x:v>0.02890624999999999</x:v>
      </x:c>
      <x:c r="I59" s="30" t="n">
        <x:f>SUM($C$29/(1+((G59+H59)/2)/$C$9)^$F$27,$C$29/(1+((G59+H59)/2)/$C$9)^$F$28,($C$29+$C$18)/(1+((G59+H59)/2)/$C$9)^$F$29)</x:f>
        <x:v>101.18101882209547</x:v>
      </x:c>
      <x:c r="J59" s="1"/>
    </x:row>
    <x:row r="60" ht="23" customHeight="1">
      <x:c r="A60" s="1"/>
      <x:c r="B60" s="6" t="n">
        <x:v>10</x:v>
      </x:c>
      <x:c r="C60" s="29" t="n">
        <x:f>(D60+E60)/2</x:f>
        <x:v>0.027294921874999992</x:v>
      </x:c>
      <x:c r="D60" s="29" t="n">
        <x:f>IF(F59&gt;$C$21,C59,D59)</x:f>
        <x:v>0.02675781249999999</x:v>
      </x:c>
      <x:c r="E60" s="29" t="n">
        <x:f>IF(F59&gt;$C$21,E59,C59)</x:f>
        <x:v>0.027832031249999993</x:v>
      </x:c>
      <x:c r="F60" s="30" t="n">
        <x:f>SUM($E$27/(1+C60/$C$9)^$F$27,$E$28/(1+C60/$C$9)^$F$28,$E$29/(1+C60/$C$9)^$F$29,$E$30/(1+C60/$C$9)^$F$30,$E$31/(1+C60/$C$9)^$F$31)</x:f>
        <x:v>101.29247062103896</x:v>
      </x:c>
      <x:c r="G60" s="29" t="n">
        <x:f>IF(I59&gt;$C$21,(G59+H59)/2,G59)</x:f>
        <x:v>0.02675781249999999</x:v>
      </x:c>
      <x:c r="H60" s="29" t="n">
        <x:f>IF(I59&gt;$C$21,H59,(G59+H59)/2)</x:f>
        <x:v>0.027832031249999993</x:v>
      </x:c>
      <x:c r="I60" s="30" t="n">
        <x:f>SUM($C$29/(1+((G60+H60)/2)/$C$9)^$F$27,$C$29/(1+((G60+H60)/2)/$C$9)^$F$28,($C$29+$C$18)/(1+((G60+H60)/2)/$C$9)^$F$29)</x:f>
        <x:v>101.30951475744266</x:v>
      </x:c>
      <x:c r="J60" s="1"/>
    </x:row>
    <x:row r="61" ht="23" customHeight="1">
      <x:c r="A61" s="1"/>
      <x:c r="B61" s="6" t="n">
        <x:v>11</x:v>
      </x:c>
      <x:c r="C61" s="29" t="n">
        <x:f>(D61+E61)/2</x:f>
        <x:v>0.02702636718749999</x:v>
      </x:c>
      <x:c r="D61" s="29" t="n">
        <x:f>IF(F60&gt;$C$21,C60,D60)</x:f>
        <x:v>0.02675781249999999</x:v>
      </x:c>
      <x:c r="E61" s="29" t="n">
        <x:f>IF(F60&gt;$C$21,E60,C60)</x:f>
        <x:v>0.027294921874999992</x:v>
      </x:c>
      <x:c r="F61" s="30" t="n">
        <x:f>SUM($E$27/(1+C61/$C$9)^$F$27,$E$28/(1+C61/$C$9)^$F$28,$E$29/(1+C61/$C$9)^$F$29,$E$30/(1+C61/$C$9)^$F$30,$E$31/(1+C61/$C$9)^$F$31)</x:f>
        <x:v>101.40506050570335</x:v>
      </x:c>
      <x:c r="G61" s="29" t="n">
        <x:f>IF(I60&gt;$C$21,(G60+H60)/2,G60)</x:f>
        <x:v>0.02675781249999999</x:v>
      </x:c>
      <x:c r="H61" s="29" t="n">
        <x:f>IF(I60&gt;$C$21,H60,(G60+H60)/2)</x:f>
        <x:v>0.027294921874999992</x:v>
      </x:c>
      <x:c r="I61" s="30" t="n">
        <x:f>SUM($C$29/(1+((G61+H61)/2)/$C$9)^$F$27,$C$29/(1+((G61+H61)/2)/$C$9)^$F$28,($C$29+$C$18)/(1+((G61+H61)/2)/$C$9)^$F$29)</x:f>
        <x:v>101.37385043869537</x:v>
      </x:c>
      <x:c r="J61" s="1"/>
    </x:row>
    <x:row r="62" ht="23" customHeight="1">
      <x:c r="A62" s="1"/>
      <x:c r="B62" s="6" t="n">
        <x:v>12</x:v>
      </x:c>
      <x:c r="C62" s="29" t="n">
        <x:f>(D62+E62)/2</x:f>
        <x:v>0.027160644531249993</x:v>
      </x:c>
      <x:c r="D62" s="29" t="n">
        <x:f>IF(F61&gt;$C$21,C61,D61)</x:f>
        <x:v>0.02702636718749999</x:v>
      </x:c>
      <x:c r="E62" s="29" t="n">
        <x:f>IF(F61&gt;$C$21,E61,C61)</x:f>
        <x:v>0.027294921874999992</x:v>
      </x:c>
      <x:c r="F62" s="30" t="n">
        <x:f>SUM($E$27/(1+C62/$C$9)^$F$27,$E$28/(1+C62/$C$9)^$F$28,$E$29/(1+C62/$C$9)^$F$29,$E$30/(1+C62/$C$9)^$F$30,$E$31/(1+C62/$C$9)^$F$31)</x:f>
        <x:v>101.34874563076399</x:v>
      </x:c>
      <x:c r="G62" s="29" t="n">
        <x:f>IF(I61&gt;$C$21,(G61+H61)/2,G61)</x:f>
        <x:v>0.02702636718749999</x:v>
      </x:c>
      <x:c r="H62" s="29" t="n">
        <x:f>IF(I61&gt;$C$21,H61,(G61+H61)/2)</x:f>
        <x:v>0.027294921874999992</x:v>
      </x:c>
      <x:c r="I62" s="30" t="n">
        <x:f>SUM($C$29/(1+((G62+H62)/2)/$C$9)^$F$27,$C$29/(1+((G62+H62)/2)/$C$9)^$F$28,($C$29+$C$18)/(1+((G62+H62)/2)/$C$9)^$F$29)</x:f>
        <x:v>101.341675281452</x:v>
      </x:c>
      <x:c r="J62" s="1"/>
    </x:row>
    <x:row r="63" ht="23" customHeight="1">
      <x:c r="A63" s="1"/>
      <x:c r="B63" s="6" t="n">
        <x:v>13</x:v>
      </x:c>
      <x:c r="C63" s="29" t="n">
        <x:f>(D63+E63)/2</x:f>
        <x:v>0.027227783203124994</x:v>
      </x:c>
      <x:c r="D63" s="29" t="n">
        <x:f>IF(F62&gt;$C$21,C62,D62)</x:f>
        <x:v>0.027160644531249993</x:v>
      </x:c>
      <x:c r="E63" s="29" t="n">
        <x:f>IF(F62&gt;$C$21,E62,C62)</x:f>
        <x:v>0.027294921874999992</x:v>
      </x:c>
      <x:c r="F63" s="30" t="n">
        <x:f>SUM($E$27/(1+C63/$C$9)^$F$27,$E$28/(1+C63/$C$9)^$F$28,$E$29/(1+C63/$C$9)^$F$29,$E$30/(1+C63/$C$9)^$F$30,$E$31/(1+C63/$C$9)^$F$31)</x:f>
        <x:v>101.32060314485186</x:v>
      </x:c>
      <x:c r="G63" s="29" t="n">
        <x:f>IF(I62&gt;$C$21,(G62+H62)/2,G62)</x:f>
        <x:v>0.027160644531249993</x:v>
      </x:c>
      <x:c r="H63" s="29" t="n">
        <x:f>IF(I62&gt;$C$21,H62,(G62+H62)/2)</x:f>
        <x:v>0.027294921874999992</x:v>
      </x:c>
      <x:c r="I63" s="30" t="n">
        <x:f>SUM($C$29/(1+((G63+H63)/2)/$C$9)^$F$27,$C$29/(1+((G63+H63)/2)/$C$9)^$F$28,($C$29+$C$18)/(1+((G63+H63)/2)/$C$9)^$F$29)</x:f>
        <x:v>101.32559319082995</x:v>
      </x:c>
      <x:c r="J63" s="1"/>
    </x:row>
    <x:row r="64" ht="23" customHeight="1">
      <x:c r="A64" s="1"/>
      <x:c r="B64" s="6" t="n">
        <x:v>14</x:v>
      </x:c>
      <x:c r="C64" s="29" t="n">
        <x:f>(D64+E64)/2</x:f>
        <x:v>0.027194213867187494</x:v>
      </x:c>
      <x:c r="D64" s="29" t="n">
        <x:f>IF(F63&gt;$C$21,C63,D63)</x:f>
        <x:v>0.027160644531249993</x:v>
      </x:c>
      <x:c r="E64" s="29" t="n">
        <x:f>IF(F63&gt;$C$21,E63,C63)</x:f>
        <x:v>0.027227783203124994</x:v>
      </x:c>
      <x:c r="F64" s="30" t="n">
        <x:f>SUM($E$27/(1+C64/$C$9)^$F$27,$E$28/(1+C64/$C$9)^$F$28,$E$29/(1+C64/$C$9)^$F$29,$E$30/(1+C64/$C$9)^$F$30,$E$31/(1+C64/$C$9)^$F$31)</x:f>
        <x:v>101.33467314228284</x:v>
      </x:c>
      <x:c r="G64" s="29" t="n">
        <x:f>IF(I63&gt;$C$21,(G63+H63)/2,G63)</x:f>
        <x:v>0.027160644531249993</x:v>
      </x:c>
      <x:c r="H64" s="29" t="n">
        <x:f>IF(I63&gt;$C$21,H63,(G63+H63)/2)</x:f>
        <x:v>0.027227783203124994</x:v>
      </x:c>
      <x:c r="I64" s="30" t="n">
        <x:f>SUM($C$29/(1+((G64+H64)/2)/$C$9)^$F$27,$C$29/(1+((G64+H64)/2)/$C$9)^$F$28,($C$29+$C$18)/(1+((G64+H64)/2)/$C$9)^$F$29)</x:f>
        <x:v>101.33363377891953</x:v>
      </x:c>
      <x:c r="J64" s="1"/>
    </x:row>
    <x:row r="65" ht="23" customHeight="1">
      <x:c r="A65" s="1"/>
      <x:c r="B65" s="6" t="n">
        <x:v>15</x:v>
      </x:c>
      <x:c r="C65" s="29" t="n">
        <x:f>(D65+E65)/2</x:f>
        <x:v>0.02717742919921874</x:v>
      </x:c>
      <x:c r="D65" s="29" t="n">
        <x:f>IF(F64&gt;$C$21,C64,D64)</x:f>
        <x:v>0.027160644531249993</x:v>
      </x:c>
      <x:c r="E65" s="29" t="n">
        <x:f>IF(F64&gt;$C$21,E64,C64)</x:f>
        <x:v>0.027194213867187494</x:v>
      </x:c>
      <x:c r="F65" s="30" t="n">
        <x:f>SUM($E$27/(1+C65/$C$9)^$F$27,$E$28/(1+C65/$C$9)^$F$28,$E$29/(1+C65/$C$9)^$F$29,$E$30/(1+C65/$C$9)^$F$30,$E$31/(1+C65/$C$9)^$F$31)</x:f>
        <x:v>101.34170907510925</x:v>
      </x:c>
      <x:c r="G65" s="29" t="n">
        <x:f>IF(I64&gt;$C$21,(G64+H64)/2,G64)</x:f>
        <x:v>0.027160644531249993</x:v>
      </x:c>
      <x:c r="H65" s="29" t="n">
        <x:f>IF(I64&gt;$C$21,H64,(G64+H64)/2)</x:f>
        <x:v>0.027194213867187494</x:v>
      </x:c>
      <x:c r="I65" s="30" t="n">
        <x:f>SUM($C$29/(1+((G65+H65)/2)/$C$9)^$F$27,$C$29/(1+((G65+H65)/2)/$C$9)^$F$28,($C$29+$C$18)/(1+((G65+H65)/2)/$C$9)^$F$29)</x:f>
        <x:v>101.33765441587201</x:v>
      </x:c>
      <x:c r="J65" s="1"/>
    </x:row>
    <x:row r="66" ht="23" customHeight="1">
      <x:c r="A66" s="1"/>
      <x:c r="B66" s="6" t="n">
        <x:v>16</x:v>
      </x:c>
      <x:c r="C66" s="29" t="n">
        <x:f>(D66+E66)/2</x:f>
        <x:v>0.02718582153320312</x:v>
      </x:c>
      <x:c r="D66" s="29" t="n">
        <x:f>IF(F65&gt;$C$21,C65,D65)</x:f>
        <x:v>0.02717742919921874</x:v>
      </x:c>
      <x:c r="E66" s="29" t="n">
        <x:f>IF(F65&gt;$C$21,E65,C65)</x:f>
        <x:v>0.027194213867187494</x:v>
      </x:c>
      <x:c r="F66" s="30" t="n">
        <x:f>SUM($E$27/(1+C66/$C$9)^$F$27,$E$28/(1+C66/$C$9)^$F$28,$E$29/(1+C66/$C$9)^$F$29,$E$30/(1+C66/$C$9)^$F$30,$E$31/(1+C66/$C$9)^$F$31)</x:f>
        <x:v>101.33819103084667</x:v>
      </x:c>
      <x:c r="G66" s="29" t="n">
        <x:f>IF(I65&gt;$C$21,(G65+H65)/2,G65)</x:f>
        <x:v>0.027160644531249993</x:v>
      </x:c>
      <x:c r="H66" s="29" t="n">
        <x:f>IF(I65&gt;$C$21,H65,(G65+H65)/2)</x:f>
        <x:v>0.02717742919921874</x:v>
      </x:c>
      <x:c r="I66" s="30" t="n">
        <x:f>SUM($C$29/(1+((G66+H66)/2)/$C$9)^$F$27,$C$29/(1+((G66+H66)/2)/$C$9)^$F$28,($C$29+$C$18)/(1+((G66+H66)/2)/$C$9)^$F$29)</x:f>
        <x:v>101.33966482008252</x:v>
      </x:c>
      <x:c r="J66" s="1"/>
    </x:row>
    <x:row r="67" ht="23" customHeight="1">
      <x:c r="A67" s="1"/>
      <x:c r="B67" s="6" t="n">
        <x:v>17</x:v>
      </x:c>
      <x:c r="C67" s="29" t="n">
        <x:f>(D67+E67)/2</x:f>
        <x:v>0.02718162536621093</x:v>
      </x:c>
      <x:c r="D67" s="29" t="n">
        <x:f>IF(F66&gt;$C$21,C66,D66)</x:f>
        <x:v>0.02717742919921874</x:v>
      </x:c>
      <x:c r="E67" s="29" t="n">
        <x:f>IF(F66&gt;$C$21,E66,C66)</x:f>
        <x:v>0.02718582153320312</x:v>
      </x:c>
      <x:c r="F67" s="30" t="n">
        <x:f>SUM($E$27/(1+C67/$C$9)^$F$27,$E$28/(1+C67/$C$9)^$F$28,$E$29/(1+C67/$C$9)^$F$29,$E$30/(1+C67/$C$9)^$F$30,$E$31/(1+C67/$C$9)^$F$31)</x:f>
        <x:v>101.3399500335151</x:v>
      </x:c>
      <x:c r="G67" s="29" t="n">
        <x:f>IF(I66&gt;$C$21,(G66+H66)/2,G66)</x:f>
        <x:v>0.027160644531249993</x:v>
      </x:c>
      <x:c r="H67" s="29" t="n">
        <x:f>IF(I66&gt;$C$21,H66,(G66+H66)/2)</x:f>
        <x:v>0.027169036865234367</x:v>
      </x:c>
      <x:c r="I67" s="30" t="n">
        <x:f>SUM($C$29/(1+((G67+H67)/2)/$C$9)^$F$27,$C$29/(1+((G67+H67)/2)/$C$9)^$F$28,($C$29+$C$18)/(1+((G67+H67)/2)/$C$9)^$F$29)</x:f>
        <x:v>101.34067004362228</x:v>
      </x:c>
      <x:c r="J67" s="1"/>
    </x:row>
    <x:row r="68" ht="23" customHeight="1">
      <x:c r="A68" s="1"/>
      <x:c r="B68" s="6" t="n">
        <x:v>18</x:v>
      </x:c>
      <x:c r="C68" s="29" t="n">
        <x:f>(D68+E68)/2</x:f>
        <x:v>0.027179527282714836</x:v>
      </x:c>
      <x:c r="D68" s="29" t="n">
        <x:f>IF(F67&gt;$C$21,C67,D67)</x:f>
        <x:v>0.02717742919921874</x:v>
      </x:c>
      <x:c r="E68" s="29" t="n">
        <x:f>IF(F67&gt;$C$21,E67,C67)</x:f>
        <x:v>0.02718162536621093</x:v>
      </x:c>
      <x:c r="F68" s="30" t="n">
        <x:f>SUM($E$27/(1+C68/$C$9)^$F$27,$E$28/(1+C68/$C$9)^$F$28,$E$29/(1+C68/$C$9)^$F$29,$E$30/(1+C68/$C$9)^$F$30,$E$31/(1+C68/$C$9)^$F$31)</x:f>
        <x:v>101.34082954944637</x:v>
      </x:c>
      <x:c r="G68" s="29" t="n">
        <x:f>IF(I67&gt;$C$21,(G67+H67)/2,G67)</x:f>
        <x:v>0.027160644531249993</x:v>
      </x:c>
      <x:c r="H68" s="29" t="n">
        <x:f>IF(I67&gt;$C$21,H67,(G67+H67)/2)</x:f>
        <x:v>0.027164840698242182</x:v>
      </x:c>
      <x:c r="I68" s="30" t="n">
        <x:f>SUM($C$29/(1+((G68+H68)/2)/$C$9)^$F$27,$C$29/(1+((G68+H68)/2)/$C$9)^$F$28,($C$29+$C$18)/(1+((G68+H68)/2)/$C$9)^$F$29)</x:f>
        <x:v>101.34117266075087</x:v>
      </x:c>
      <x:c r="J68" s="1"/>
    </x:row>
    <x:row r="69" ht="23" customHeight="1">
      <x:c r="A69" s="1"/>
      <x:c r="B69" s="6" t="n">
        <x:v>19</x:v>
      </x:c>
      <x:c r="C69" s="29" t="n">
        <x:f>(D69+E69)/2</x:f>
        <x:v>0.027178478240966787</x:v>
      </x:c>
      <x:c r="D69" s="29" t="n">
        <x:f>IF(F68&gt;$C$21,C68,D68)</x:f>
        <x:v>0.02717742919921874</x:v>
      </x:c>
      <x:c r="E69" s="29" t="n">
        <x:f>IF(F68&gt;$C$21,E68,C68)</x:f>
        <x:v>0.027179527282714836</x:v>
      </x:c>
      <x:c r="F69" s="30" t="n">
        <x:f>SUM($E$27/(1+C69/$C$9)^$F$27,$E$28/(1+C69/$C$9)^$F$28,$E$29/(1+C69/$C$9)^$F$29,$E$30/(1+C69/$C$9)^$F$30,$E$31/(1+C69/$C$9)^$F$31)</x:f>
        <x:v>101.34126931106141</x:v>
      </x:c>
      <x:c r="G69" s="29" t="n">
        <x:f>IF(I68&gt;$C$21,(G68+H68)/2,G68)</x:f>
        <x:v>0.027160644531249993</x:v>
      </x:c>
      <x:c r="H69" s="29" t="n">
        <x:f>IF(I68&gt;$C$21,H68,(G68+H68)/2)</x:f>
        <x:v>0.027162742614746088</x:v>
      </x:c>
      <x:c r="I69" s="30" t="n">
        <x:f>SUM($C$29/(1+((G69+H69)/2)/$C$9)^$F$27,$C$29/(1+((G69+H69)/2)/$C$9)^$F$28,($C$29+$C$18)/(1+((G69+H69)/2)/$C$9)^$F$29)</x:f>
        <x:v>101.34142397065483</x:v>
      </x:c>
      <x:c r="J69" s="1"/>
    </x:row>
    <x:row r="70" ht="23" customHeight="1">
      <x:c r="A70" s="1"/>
      <x:c r="B70" s="6" t="n">
        <x:v>20</x:v>
      </x:c>
      <x:c r="C70" s="29" t="n">
        <x:f>(D70+E70)/2</x:f>
        <x:v>0.027177953720092764</x:v>
      </x:c>
      <x:c r="D70" s="29" t="n">
        <x:f>IF(F69&gt;$C$21,C69,D69)</x:f>
        <x:v>0.02717742919921874</x:v>
      </x:c>
      <x:c r="E70" s="29" t="n">
        <x:f>IF(F69&gt;$C$21,E69,C69)</x:f>
        <x:v>0.027178478240966787</x:v>
      </x:c>
      <x:c r="F70" s="30" t="n">
        <x:f>SUM($E$27/(1+C70/$C$9)^$F$27,$E$28/(1+C70/$C$9)^$F$28,$E$29/(1+C70/$C$9)^$F$29,$E$30/(1+C70/$C$9)^$F$30,$E$31/(1+C70/$C$9)^$F$31)</x:f>
        <x:v>101.34148919278125</x:v>
      </x:c>
      <x:c r="G70" s="29" t="n">
        <x:f>IF(I69&gt;$C$21,(G69+H69)/2,G69)</x:f>
        <x:v>0.02716169357299804</x:v>
      </x:c>
      <x:c r="H70" s="29" t="n">
        <x:f>IF(I69&gt;$C$21,H69,(G69+H69)/2)</x:f>
        <x:v>0.027162742614746088</x:v>
      </x:c>
      <x:c r="I70" s="30" t="n">
        <x:f>SUM($C$29/(1+((G70+H70)/2)/$C$9)^$F$27,$C$29/(1+((G70+H70)/2)/$C$9)^$F$28,($C$29+$C$18)/(1+((G70+H70)/2)/$C$9)^$F$29)</x:f>
        <x:v>101.34129831559125</x:v>
      </x:c>
      <x:c r="J70" s="1"/>
    </x:row>
    <x:row r="71" ht="23" customHeight="1">
      <x:c r="A71" s="1"/>
      <x:c r="B71" s="6" t="n">
        <x:v>21</x:v>
      </x:c>
      <x:c r="C71" s="29" t="n">
        <x:f>(D71+E71)/2</x:f>
        <x:v>0.027178215980529774</x:v>
      </x:c>
      <x:c r="D71" s="29" t="n">
        <x:f>IF(F70&gt;$C$21,C70,D70)</x:f>
        <x:v>0.027177953720092764</x:v>
      </x:c>
      <x:c r="E71" s="29" t="n">
        <x:f>IF(F70&gt;$C$21,E70,C70)</x:f>
        <x:v>0.027178478240966787</x:v>
      </x:c>
      <x:c r="F71" s="30" t="n">
        <x:f>SUM($E$27/(1+C71/$C$9)^$F$27,$E$28/(1+C71/$C$9)^$F$28,$E$29/(1+C71/$C$9)^$F$29,$E$30/(1+C71/$C$9)^$F$30,$E$31/(1+C71/$C$9)^$F$31)</x:f>
        <x:v>101.34137925184525</x:v>
      </x:c>
      <x:c r="G71" s="29" t="n">
        <x:f>IF(I70&gt;$C$21,(G70+H70)/2,G70)</x:f>
        <x:v>0.02716169357299804</x:v>
      </x:c>
      <x:c r="H71" s="29" t="n">
        <x:f>IF(I70&gt;$C$21,H70,(G70+H70)/2)</x:f>
        <x:v>0.027162218093872065</x:v>
      </x:c>
      <x:c r="I71" s="30" t="n">
        <x:f>SUM($C$29/(1+((G71+H71)/2)/$C$9)^$F$27,$C$29/(1+((G71+H71)/2)/$C$9)^$F$28,($C$29+$C$18)/(1+((G71+H71)/2)/$C$9)^$F$29)</x:f>
        <x:v>101.34136114309514</x:v>
      </x:c>
      <x:c r="J71" s="1"/>
    </x:row>
    <x:row r="72" ht="23" customHeight="1">
      <x:c r="A72" s="1"/>
      <x:c r="B72" s="6" t="n">
        <x:v>22</x:v>
      </x:c>
      <x:c r="C72" s="29" t="n">
        <x:f>(D72+E72)/2</x:f>
        <x:v>0.02717834711074828</x:v>
      </x:c>
      <x:c r="D72" s="29" t="n">
        <x:f>IF(F71&gt;$C$21,C71,D71)</x:f>
        <x:v>0.027178215980529774</x:v>
      </x:c>
      <x:c r="E72" s="29" t="n">
        <x:f>IF(F71&gt;$C$21,E71,C71)</x:f>
        <x:v>0.027178478240966787</x:v>
      </x:c>
      <x:c r="F72" s="30" t="n">
        <x:f>SUM($E$27/(1+C72/$C$9)^$F$27,$E$28/(1+C72/$C$9)^$F$28,$E$29/(1+C72/$C$9)^$F$29,$E$30/(1+C72/$C$9)^$F$30,$E$31/(1+C72/$C$9)^$F$31)</x:f>
        <x:v>101.34132428143434</x:v>
      </x:c>
      <x:c r="G72" s="29" t="n">
        <x:f>IF(I71&gt;$C$21,(G71+H71)/2,G71)</x:f>
        <x:v>0.02716169357299804</x:v>
      </x:c>
      <x:c r="H72" s="29" t="n">
        <x:f>IF(I71&gt;$C$21,H71,(G71+H71)/2)</x:f>
        <x:v>0.02716195583343505</x:v>
      </x:c>
      <x:c r="I72" s="30" t="n">
        <x:f>SUM($C$29/(1+((G72+H72)/2)/$C$9)^$F$27,$C$29/(1+((G72+H72)/2)/$C$9)^$F$28,($C$29+$C$18)/(1+((G72+H72)/2)/$C$9)^$F$29)</x:f>
        <x:v>101.34139255686803</x:v>
      </x:c>
      <x:c r="J72" s="1"/>
    </x:row>
    <x:row r="73" ht="23" customHeight="1">
      <x:c r="A73" s="1"/>
      <x:c r="B73" s="6" t="n">
        <x:v>23</x:v>
      </x:c>
      <x:c r="C73" s="29" t="n">
        <x:f>(D73+E73)/2</x:f>
        <x:v>0.027178281545639026</x:v>
      </x:c>
      <x:c r="D73" s="29" t="n">
        <x:f>IF(F72&gt;$C$21,C72,D72)</x:f>
        <x:v>0.027178215980529774</x:v>
      </x:c>
      <x:c r="E73" s="29" t="n">
        <x:f>IF(F72&gt;$C$21,E72,C72)</x:f>
        <x:v>0.02717834711074828</x:v>
      </x:c>
      <x:c r="F73" s="30" t="n">
        <x:f>SUM($E$27/(1+C73/$C$9)^$F$27,$E$28/(1+C73/$C$9)^$F$28,$E$29/(1+C73/$C$9)^$F$29,$E$30/(1+C73/$C$9)^$F$30,$E$31/(1+C73/$C$9)^$F$31)</x:f>
        <x:v>101.34135176663509</x:v>
      </x:c>
      <x:c r="G73" s="29" t="n">
        <x:f>IF(I72&gt;$C$21,(G72+H72)/2,G72)</x:f>
        <x:v>0.027161824703216545</x:v>
      </x:c>
      <x:c r="H73" s="29" t="n">
        <x:f>IF(I72&gt;$C$21,H72,(G72+H72)/2)</x:f>
        <x:v>0.02716195583343505</x:v>
      </x:c>
      <x:c r="I73" s="30" t="n">
        <x:f>SUM($C$29/(1+((G73+H73)/2)/$C$9)^$F$27,$C$29/(1+((G73+H73)/2)/$C$9)^$F$28,($C$29+$C$18)/(1+((G73+H73)/2)/$C$9)^$F$29)</x:f>
        <x:v>101.34137684997987</x:v>
      </x:c>
      <x:c r="J73" s="1"/>
    </x:row>
    <x:row r="74" ht="23" customHeight="1">
      <x:c r="A74" s="1"/>
      <x:c r="B74" s="6" t="n">
        <x:v>24</x:v>
      </x:c>
      <x:c r="C74" s="29" t="n">
        <x:f>(D74+E74)/2</x:f>
        <x:v>0.0271782487630844</x:v>
      </x:c>
      <x:c r="D74" s="29" t="n">
        <x:f>IF(F73&gt;$C$21,C73,D73)</x:f>
        <x:v>0.027178215980529774</x:v>
      </x:c>
      <x:c r="E74" s="29" t="n">
        <x:f>IF(F73&gt;$C$21,E73,C73)</x:f>
        <x:v>0.027178281545639026</x:v>
      </x:c>
      <x:c r="F74" s="30" t="n">
        <x:f>SUM($E$27/(1+C74/$C$9)^$F$27,$E$28/(1+C74/$C$9)^$F$28,$E$29/(1+C74/$C$9)^$F$29,$E$30/(1+C74/$C$9)^$F$30,$E$31/(1+C74/$C$9)^$F$31)</x:f>
        <x:v>101.34136550923894</x:v>
      </x:c>
      <x:c r="G74" s="29" t="n">
        <x:f>IF(I73&gt;$C$21,(G73+H73)/2,G73)</x:f>
        <x:v>0.0271618902683258</x:v>
      </x:c>
      <x:c r="H74" s="29" t="n">
        <x:f>IF(I73&gt;$C$21,H73,(G73+H73)/2)</x:f>
        <x:v>0.02716195583343505</x:v>
      </x:c>
      <x:c r="I74" s="30" t="n">
        <x:f>SUM($C$29/(1+((G74+H74)/2)/$C$9)^$F$27,$C$29/(1+((G74+H74)/2)/$C$9)^$F$28,($C$29+$C$18)/(1+((G74+H74)/2)/$C$9)^$F$29)</x:f>
        <x:v>101.34136899653706</x:v>
      </x:c>
      <x:c r="J74" s="1"/>
    </x:row>
    <x:row r="75" ht="23" customHeight="1">
      <x:c r="A75" s="1"/>
      <x:c r="B75" s="6" t="n">
        <x:v>25</x:v>
      </x:c>
      <x:c r="C75" s="29" t="n">
        <x:f>(D75+E75)/2</x:f>
        <x:v>0.02717823237180709</x:v>
      </x:c>
      <x:c r="D75" s="29" t="n">
        <x:f>IF(F74&gt;$C$21,C74,D74)</x:f>
        <x:v>0.027178215980529774</x:v>
      </x:c>
      <x:c r="E75" s="29" t="n">
        <x:f>IF(F74&gt;$C$21,E74,C74)</x:f>
        <x:v>0.0271782487630844</x:v>
      </x:c>
      <x:c r="F75" s="30" t="n">
        <x:f>SUM($E$27/(1+C75/$C$9)^$F$27,$E$28/(1+C75/$C$9)^$F$28,$E$29/(1+C75/$C$9)^$F$29,$E$30/(1+C75/$C$9)^$F$30,$E$31/(1+C75/$C$9)^$F$31)</x:f>
        <x:v>101.34137238054184</x:v>
      </x:c>
      <x:c r="G75" s="29" t="n">
        <x:f>IF(I74&gt;$C$21,(G74+H74)/2,G74)</x:f>
        <x:v>0.0271618902683258</x:v>
      </x:c>
      <x:c r="H75" s="29" t="n">
        <x:f>IF(I74&gt;$C$21,H74,(G74+H74)/2)</x:f>
        <x:v>0.027161923050880426</x:v>
      </x:c>
      <x:c r="I75" s="30" t="n">
        <x:f>SUM($C$29/(1+((G75+H75)/2)/$C$9)^$F$27,$C$29/(1+((G75+H75)/2)/$C$9)^$F$28,($C$29+$C$18)/(1+((G75+H75)/2)/$C$9)^$F$29)</x:f>
        <x:v>101.34137292325832</x:v>
      </x:c>
      <x:c r="J75" s="1"/>
    </x:row>
    <x:row r="76" ht="23" customHeight="1">
      <x:c r="A76" s="1"/>
      <x:c r="B76" s="6" t="n">
        <x:v>26</x:v>
      </x:c>
      <x:c r="C76" s="29" t="n">
        <x:f>(D76+E76)/2</x:f>
        <x:v>0.027178240567445743</x:v>
      </x:c>
      <x:c r="D76" s="29" t="n">
        <x:f>IF(F75&gt;$C$21,C75,D75)</x:f>
        <x:v>0.02717823237180709</x:v>
      </x:c>
      <x:c r="E76" s="29" t="n">
        <x:f>IF(F75&gt;$C$21,E75,C75)</x:f>
        <x:v>0.0271782487630844</x:v>
      </x:c>
      <x:c r="F76" s="30" t="n">
        <x:f>SUM($E$27/(1+C76/$C$9)^$F$27,$E$28/(1+C76/$C$9)^$F$28,$E$29/(1+C76/$C$9)^$F$29,$E$30/(1+C76/$C$9)^$F$30,$E$31/(1+C76/$C$9)^$F$31)</x:f>
        <x:v>101.34136894489036</x:v>
      </x:c>
      <x:c r="G76" s="29" t="n">
        <x:f>IF(I75&gt;$C$21,(G75+H75)/2,G75)</x:f>
        <x:v>0.027161906659603115</x:v>
      </x:c>
      <x:c r="H76" s="29" t="n">
        <x:f>IF(I75&gt;$C$21,H75,(G75+H75)/2)</x:f>
        <x:v>0.027161923050880426</x:v>
      </x:c>
      <x:c r="I76" s="30" t="n">
        <x:f>SUM($C$29/(1+((G76+H76)/2)/$C$9)^$F$27,$C$29/(1+((G76+H76)/2)/$C$9)^$F$28,($C$29+$C$18)/(1+((G76+H76)/2)/$C$9)^$F$29)</x:f>
        <x:v>101.34137095989766</x:v>
      </x:c>
      <x:c r="J76" s="1"/>
    </x:row>
    <x:row r="77" ht="23" customHeight="1">
      <x:c r="A77" s="1"/>
      <x:c r="B77" s="6" t="n">
        <x:v>27</x:v>
      </x:c>
      <x:c r="C77" s="29" t="n">
        <x:f>(D77+E77)/2</x:f>
        <x:v>0.027178236469626416</x:v>
      </x:c>
      <x:c r="D77" s="29" t="n">
        <x:f>IF(F76&gt;$C$21,C76,D76)</x:f>
        <x:v>0.02717823237180709</x:v>
      </x:c>
      <x:c r="E77" s="29" t="n">
        <x:f>IF(F76&gt;$C$21,E76,C76)</x:f>
        <x:v>0.027178240567445743</x:v>
      </x:c>
      <x:c r="F77" s="30" t="n">
        <x:f>SUM($E$27/(1+C77/$C$9)^$F$27,$E$28/(1+C77/$C$9)^$F$28,$E$29/(1+C77/$C$9)^$F$29,$E$30/(1+C77/$C$9)^$F$30,$E$31/(1+C77/$C$9)^$F$31)</x:f>
        <x:v>101.34137066271605</x:v>
      </x:c>
      <x:c r="G77" s="29" t="n">
        <x:f>IF(I76&gt;$C$21,(G76+H76)/2,G76)</x:f>
        <x:v>0.02716191485524177</x:v>
      </x:c>
      <x:c r="H77" s="29" t="n">
        <x:f>IF(I76&gt;$C$21,H76,(G76+H76)/2)</x:f>
        <x:v>0.027161923050880426</x:v>
      </x:c>
      <x:c r="I77" s="30" t="n">
        <x:f>SUM($C$29/(1+((G77+H77)/2)/$C$9)^$F$27,$C$29/(1+((G77+H77)/2)/$C$9)^$F$28,($C$29+$C$18)/(1+((G77+H77)/2)/$C$9)^$F$29)</x:f>
        <x:v>101.34136997821733</x:v>
      </x:c>
      <x:c r="J77" s="1"/>
    </x:row>
    <x:row r="78" ht="23" customHeight="1">
      <x:c r="A78" s="1"/>
      <x:c r="B78" s="6" t="n">
        <x:v>28</x:v>
      </x:c>
      <x:c r="C78" s="29" t="n">
        <x:f>(D78+E78)/2</x:f>
        <x:v>0.02717823851853608</x:v>
      </x:c>
      <x:c r="D78" s="29" t="n">
        <x:f>IF(F77&gt;$C$21,C77,D77)</x:f>
        <x:v>0.027178236469626416</x:v>
      </x:c>
      <x:c r="E78" s="29" t="n">
        <x:f>IF(F77&gt;$C$21,E77,C77)</x:f>
        <x:v>0.027178240567445743</x:v>
      </x:c>
      <x:c r="F78" s="30" t="n">
        <x:f>SUM($E$27/(1+C78/$C$9)^$F$27,$E$28/(1+C78/$C$9)^$F$28,$E$29/(1+C78/$C$9)^$F$29,$E$30/(1+C78/$C$9)^$F$30,$E$31/(1+C78/$C$9)^$F$31)</x:f>
        <x:v>101.34136980380316</x:v>
      </x:c>
      <x:c r="G78" s="29" t="n">
        <x:f>IF(I77&gt;$C$21,(G77+H77)/2,G77)</x:f>
        <x:v>0.027161918953061095</x:v>
      </x:c>
      <x:c r="H78" s="29" t="n">
        <x:f>IF(I77&gt;$C$21,H77,(G77+H77)/2)</x:f>
        <x:v>0.027161923050880426</x:v>
      </x:c>
      <x:c r="I78" s="30" t="n">
        <x:f>SUM($C$29/(1+((G78+H78)/2)/$C$9)^$F$27,$C$29/(1+((G78+H78)/2)/$C$9)^$F$28,($C$29+$C$18)/(1+((G78+H78)/2)/$C$9)^$F$29)</x:f>
        <x:v>101.34136948737722</x:v>
      </x:c>
      <x:c r="J78" s="1"/>
    </x:row>
    <x:row r="79" ht="23" customHeight="1">
      <x:c r="A79" s="1"/>
      <x:c r="B79" s="6" t="n">
        <x:v>29</x:v>
      </x:c>
      <x:c r="C79" s="29" t="n">
        <x:f>(D79+E79)/2</x:f>
        <x:v>0.02717823749408125</x:v>
      </x:c>
      <x:c r="D79" s="29" t="n">
        <x:f>IF(F78&gt;$C$21,C78,D78)</x:f>
        <x:v>0.027178236469626416</x:v>
      </x:c>
      <x:c r="E79" s="29" t="n">
        <x:f>IF(F78&gt;$C$21,E78,C78)</x:f>
        <x:v>0.02717823851853608</x:v>
      </x:c>
      <x:c r="F79" s="30" t="n">
        <x:f>SUM($E$27/(1+C79/$C$9)^$F$27,$E$28/(1+C79/$C$9)^$F$28,$E$29/(1+C79/$C$9)^$F$29,$E$30/(1+C79/$C$9)^$F$30,$E$31/(1+C79/$C$9)^$F$31)</x:f>
        <x:v>101.34137023325964</x:v>
      </x:c>
      <x:c r="G79" s="29" t="n">
        <x:f>IF(I78&gt;$C$21,(G78+H78)/2,G78)</x:f>
        <x:v>0.027161918953061095</x:v>
      </x:c>
      <x:c r="H79" s="29" t="n">
        <x:f>IF(I78&gt;$C$21,H78,(G78+H78)/2)</x:f>
        <x:v>0.027161921001970762</x:v>
      </x:c>
      <x:c r="I79" s="30" t="n">
        <x:f>SUM($C$29/(1+((G79+H79)/2)/$C$9)^$F$27,$C$29/(1+((G79+H79)/2)/$C$9)^$F$28,($C$29+$C$18)/(1+((G79+H79)/2)/$C$9)^$F$29)</x:f>
        <x:v>101.34136973279728</x:v>
      </x:c>
      <x:c r="J79" s="1"/>
    </x:row>
    <x:row r="80" ht="23" customHeight="1">
      <x:c r="A80" s="1"/>
      <x:c r="B80" s="6" t="n">
        <x:v>30</x:v>
      </x:c>
      <x:c r="C80" s="29" t="n">
        <x:f>(D80+E80)/2</x:f>
        <x:v>0.027178238006308662</x:v>
      </x:c>
      <x:c r="D80" s="29" t="n">
        <x:f>IF(F79&gt;$C$21,C79,D79)</x:f>
        <x:v>0.02717823749408125</x:v>
      </x:c>
      <x:c r="E80" s="29" t="n">
        <x:f>IF(F79&gt;$C$21,E79,C79)</x:f>
        <x:v>0.02717823851853608</x:v>
      </x:c>
      <x:c r="F80" s="30" t="n">
        <x:f>SUM($E$27/(1+C80/$C$9)^$F$27,$E$28/(1+C80/$C$9)^$F$28,$E$29/(1+C80/$C$9)^$F$29,$E$30/(1+C80/$C$9)^$F$30,$E$31/(1+C80/$C$9)^$F$31)</x:f>
        <x:v>101.34137001853145</x:v>
      </x:c>
      <x:c r="G80" s="29" t="n">
        <x:f>IF(I79&gt;$C$21,(G79+H79)/2,G79)</x:f>
        <x:v>0.027161918953061095</x:v>
      </x:c>
      <x:c r="H80" s="29" t="n">
        <x:f>IF(I79&gt;$C$21,H79,(G79+H79)/2)</x:f>
        <x:v>0.02716191997751593</x:v>
      </x:c>
      <x:c r="I80" s="30" t="n">
        <x:f>SUM($C$29/(1+((G80+H80)/2)/$C$9)^$F$27,$C$29/(1+((G80+H80)/2)/$C$9)^$F$28,($C$29+$C$18)/(1+((G80+H80)/2)/$C$9)^$F$29)</x:f>
        <x:v>101.34136985550731</x:v>
      </x:c>
      <x:c r="J80" s="1"/>
    </x:row>
    <x:row r="81" ht="23" customHeight="1">
      <x:c r="A81" s="1"/>
      <x:c r="B81" s="6" t="n">
        <x:v>31</x:v>
      </x:c>
      <x:c r="C81" s="29" t="n">
        <x:f>(D81+E81)/2</x:f>
        <x:v>0.02717823826242237</x:v>
      </x:c>
      <x:c r="D81" s="29" t="n">
        <x:f>IF(F80&gt;$C$21,C80,D80)</x:f>
        <x:v>0.027178238006308662</x:v>
      </x:c>
      <x:c r="E81" s="29" t="n">
        <x:f>IF(F80&gt;$C$21,E80,C80)</x:f>
        <x:v>0.02717823851853608</x:v>
      </x:c>
      <x:c r="F81" s="30" t="n">
        <x:f>SUM($E$27/(1+C81/$C$9)^$F$27,$E$28/(1+C81/$C$9)^$F$28,$E$29/(1+C81/$C$9)^$F$29,$E$30/(1+C81/$C$9)^$F$30,$E$31/(1+C81/$C$9)^$F$31)</x:f>
        <x:v>101.34136991116729</x:v>
      </x:c>
      <x:c r="G81" s="29" t="n">
        <x:f>IF(I80&gt;$C$21,(G80+H80)/2,G80)</x:f>
        <x:v>0.027161918953061095</x:v>
      </x:c>
      <x:c r="H81" s="29" t="n">
        <x:f>IF(I80&gt;$C$21,H80,(G80+H80)/2)</x:f>
        <x:v>0.027161919465288512</x:v>
      </x:c>
      <x:c r="I81" s="30" t="n">
        <x:f>SUM($C$29/(1+((G81+H81)/2)/$C$9)^$F$27,$C$29/(1+((G81+H81)/2)/$C$9)^$F$28,($C$29+$C$18)/(1+((G81+H81)/2)/$C$9)^$F$29)</x:f>
        <x:v>101.34136991686233</x:v>
      </x:c>
      <x:c r="J81" s="1"/>
    </x:row>
    <x:row r="82" ht="23" customHeight="1">
      <x:c r="A82" s="1"/>
      <x:c r="B82" s="6" t="n">
        <x:v>32</x:v>
      </x:c>
      <x:c r="C82" s="29" t="n">
        <x:f>(D82+E82)/2</x:f>
        <x:v>0.027178238390479226</x:v>
      </x:c>
      <x:c r="D82" s="29" t="n">
        <x:f>IF(F81&gt;$C$21,C81,D81)</x:f>
        <x:v>0.02717823826242237</x:v>
      </x:c>
      <x:c r="E82" s="29" t="n">
        <x:f>IF(F81&gt;$C$21,E81,C81)</x:f>
        <x:v>0.02717823851853608</x:v>
      </x:c>
      <x:c r="F82" s="30" t="n">
        <x:f>SUM($E$27/(1+C82/$C$9)^$F$27,$E$28/(1+C82/$C$9)^$F$28,$E$29/(1+C82/$C$9)^$F$29,$E$30/(1+C82/$C$9)^$F$30,$E$31/(1+C82/$C$9)^$F$31)</x:f>
        <x:v>101.34136985748523</x:v>
      </x:c>
      <x:c r="G82" s="29" t="n">
        <x:f>IF(I81&gt;$C$21,(G81+H81)/2,G81)</x:f>
        <x:v>0.027161919209174802</x:v>
      </x:c>
      <x:c r="H82" s="29" t="n">
        <x:f>IF(I81&gt;$C$21,H81,(G81+H81)/2)</x:f>
        <x:v>0.027161919465288512</x:v>
      </x:c>
      <x:c r="I82" s="30" t="n">
        <x:f>SUM($C$29/(1+((G82+H82)/2)/$C$9)^$F$27,$C$29/(1+((G82+H82)/2)/$C$9)^$F$28,($C$29+$C$18)/(1+((G82+H82)/2)/$C$9)^$F$29)</x:f>
        <x:v>101.34136988618481</x:v>
      </x:c>
      <x:c r="J82" s="1"/>
    </x:row>
    <x:row r="83" ht="23" customHeight="1">
      <x:c r="A83" s="1"/>
      <x:c r="B83" s="6" t="n">
        <x:v>33</x:v>
      </x:c>
      <x:c r="C83" s="29" t="n">
        <x:f>(D83+E83)/2</x:f>
        <x:v>0.027178238326450797</x:v>
      </x:c>
      <x:c r="D83" s="29" t="n">
        <x:f>IF(F82&gt;$C$21,C82,D82)</x:f>
        <x:v>0.02717823826242237</x:v>
      </x:c>
      <x:c r="E83" s="29" t="n">
        <x:f>IF(F82&gt;$C$21,E82,C82)</x:f>
        <x:v>0.027178238390479226</x:v>
      </x:c>
      <x:c r="F83" s="30" t="n">
        <x:f>SUM($E$27/(1+C83/$C$9)^$F$27,$E$28/(1+C83/$C$9)^$F$28,$E$29/(1+C83/$C$9)^$F$29,$E$30/(1+C83/$C$9)^$F$30,$E$31/(1+C83/$C$9)^$F$31)</x:f>
        <x:v>101.34136988432633</x:v>
      </x:c>
      <x:c r="G83" s="29" t="n">
        <x:f>IF(I82&gt;$C$21,(G82+H82)/2,G82)</x:f>
        <x:v>0.02716191933723166</x:v>
      </x:c>
      <x:c r="H83" s="29" t="n">
        <x:f>IF(I82&gt;$C$21,H82,(G82+H82)/2)</x:f>
        <x:v>0.027161919465288512</x:v>
      </x:c>
      <x:c r="I83" s="30" t="n">
        <x:f>SUM($C$29/(1+((G83+H83)/2)/$C$9)^$F$27,$C$29/(1+((G83+H83)/2)/$C$9)^$F$28,($C$29+$C$18)/(1+((G83+H83)/2)/$C$9)^$F$29)</x:f>
        <x:v>101.34136987084608</x:v>
      </x:c>
      <x:c r="J83" s="1"/>
    </x:row>
    <x:row r="84" ht="23" customHeight="1">
      <x:c r="A84" s="1"/>
      <x:c r="B84" s="6" t="n">
        <x:v>34</x:v>
      </x:c>
      <x:c r="C84" s="29" t="n">
        <x:f>(D84+E84)/2</x:f>
        <x:v>0.02717823835846501</x:v>
      </x:c>
      <x:c r="D84" s="29" t="n">
        <x:f>IF(F83&gt;$C$21,C83,D83)</x:f>
        <x:v>0.027178238326450797</x:v>
      </x:c>
      <x:c r="E84" s="29" t="n">
        <x:f>IF(F83&gt;$C$21,E83,C83)</x:f>
        <x:v>0.027178238390479226</x:v>
      </x:c>
      <x:c r="F84" s="30" t="n">
        <x:f>SUM($E$27/(1+C84/$C$9)^$F$27,$E$28/(1+C84/$C$9)^$F$28,$E$29/(1+C84/$C$9)^$F$29,$E$30/(1+C84/$C$9)^$F$30,$E$31/(1+C84/$C$9)^$F$31)</x:f>
        <x:v>101.34136987090572</x:v>
      </x:c>
      <x:c r="G84" s="29" t="n">
        <x:f>IF(I83&gt;$C$21,(G83+H83)/2,G83)</x:f>
        <x:v>0.027161919401260087</x:v>
      </x:c>
      <x:c r="H84" s="29" t="n">
        <x:f>IF(I83&gt;$C$21,H83,(G83+H83)/2)</x:f>
        <x:v>0.027161919465288512</x:v>
      </x:c>
      <x:c r="I84" s="30" t="n">
        <x:f>SUM($C$29/(1+((G84+H84)/2)/$C$9)^$F$27,$C$29/(1+((G84+H84)/2)/$C$9)^$F$28,($C$29+$C$18)/(1+((G84+H84)/2)/$C$9)^$F$29)</x:f>
        <x:v>101.34136986317667</x:v>
      </x:c>
      <x:c r="J84" s="1"/>
    </x:row>
    <x:row r="85" ht="23" customHeight="1">
      <x:c r="A85" s="1"/>
      <x:c r="B85" s="6" t="n">
        <x:v>35</x:v>
      </x:c>
      <x:c r="C85" s="29" t="n">
        <x:f>(D85+E85)/2</x:f>
        <x:v>0.02717823837447212</x:v>
      </x:c>
      <x:c r="D85" s="29" t="n">
        <x:f>IF(F84&gt;$C$21,C84,D84)</x:f>
        <x:v>0.02717823835846501</x:v>
      </x:c>
      <x:c r="E85" s="29" t="n">
        <x:f>IF(F84&gt;$C$21,E84,C84)</x:f>
        <x:v>0.027178238390479226</x:v>
      </x:c>
      <x:c r="F85" s="30" t="n">
        <x:f>SUM($E$27/(1+C85/$C$9)^$F$27,$E$28/(1+C85/$C$9)^$F$28,$E$29/(1+C85/$C$9)^$F$29,$E$30/(1+C85/$C$9)^$F$30,$E$31/(1+C85/$C$9)^$F$31)</x:f>
        <x:v>101.34136986419553</x:v>
      </x:c>
      <x:c r="G85" s="29" t="n">
        <x:f>IF(I84&gt;$C$21,(G84+H84)/2,G84)</x:f>
        <x:v>0.027161919433274298</x:v>
      </x:c>
      <x:c r="H85" s="29" t="n">
        <x:f>IF(I84&gt;$C$21,H84,(G84+H84)/2)</x:f>
        <x:v>0.027161919465288512</x:v>
      </x:c>
      <x:c r="I85" s="30" t="n">
        <x:f>SUM($C$29/(1+((G85+H85)/2)/$C$9)^$F$27,$C$29/(1+((G85+H85)/2)/$C$9)^$F$28,($C$29+$C$18)/(1+((G85+H85)/2)/$C$9)^$F$29)</x:f>
        <x:v>101.34136985934201</x:v>
      </x:c>
      <x:c r="J85" s="1"/>
    </x:row>
    <x:row r="86" ht="23" customHeight="1">
      <x:c r="A86" s="1"/>
      <x:c r="B86" s="6" t="n">
        <x:v>36</x:v>
      </x:c>
      <x:c r="C86" s="29" t="n">
        <x:f>(D86+E86)/2</x:f>
        <x:v>0.027178238382475673</x:v>
      </x:c>
      <x:c r="D86" s="29" t="n">
        <x:f>IF(F85&gt;$C$21,C85,D85)</x:f>
        <x:v>0.02717823837447212</x:v>
      </x:c>
      <x:c r="E86" s="29" t="n">
        <x:f>IF(F85&gt;$C$21,E85,C85)</x:f>
        <x:v>0.027178238390479226</x:v>
      </x:c>
      <x:c r="F86" s="30" t="n">
        <x:f>SUM($E$27/(1+C86/$C$9)^$F$27,$E$28/(1+C86/$C$9)^$F$28,$E$29/(1+C86/$C$9)^$F$29,$E$30/(1+C86/$C$9)^$F$30,$E$31/(1+C86/$C$9)^$F$31)</x:f>
        <x:v>101.34136986084039</x:v>
      </x:c>
      <x:c r="G86" s="29" t="n">
        <x:f>IF(I85&gt;$C$21,(G85+H85)/2,G85)</x:f>
        <x:v>0.027161919433274298</x:v>
      </x:c>
      <x:c r="H86" s="29" t="n">
        <x:f>IF(I85&gt;$C$21,H85,(G85+H85)/2)</x:f>
        <x:v>0.027161919449281403</x:v>
      </x:c>
      <x:c r="I86" s="30" t="n">
        <x:f>SUM($C$29/(1+((G86+H86)/2)/$C$9)^$F$27,$C$29/(1+((G86+H86)/2)/$C$9)^$F$28,($C$29+$C$18)/(1+((G86+H86)/2)/$C$9)^$F$29)</x:f>
        <x:v>101.34136986125937</x:v>
      </x:c>
      <x:c r="J86" s="1"/>
    </x:row>
    <x:row r="87" ht="23" customHeight="1">
      <x:c r="A87" s="1"/>
      <x:c r="B87" s="6" t="n">
        <x:v>37</x:v>
      </x:c>
      <x:c r="C87" s="29" t="n">
        <x:f>(D87+E87)/2</x:f>
        <x:v>0.0271782383784739</x:v>
      </x:c>
      <x:c r="D87" s="29" t="n">
        <x:f>IF(F86&gt;$C$21,C86,D86)</x:f>
        <x:v>0.02717823837447212</x:v>
      </x:c>
      <x:c r="E87" s="29" t="n">
        <x:f>IF(F86&gt;$C$21,E86,C86)</x:f>
        <x:v>0.027178238382475673</x:v>
      </x:c>
      <x:c r="F87" s="30" t="n">
        <x:f>SUM($E$27/(1+C87/$C$9)^$F$27,$E$28/(1+C87/$C$9)^$F$28,$E$29/(1+C87/$C$9)^$F$29,$E$30/(1+C87/$C$9)^$F$30,$E$31/(1+C87/$C$9)^$F$31)</x:f>
        <x:v>101.34136986251791</x:v>
      </x:c>
      <x:c r="G87" s="29" t="n">
        <x:f>IF(I86&gt;$C$21,(G86+H86)/2,G86)</x:f>
        <x:v>0.027161919433274298</x:v>
      </x:c>
      <x:c r="H87" s="29" t="n">
        <x:f>IF(I86&gt;$C$21,H86,(G86+H86)/2)</x:f>
        <x:v>0.02716191944127785</x:v>
      </x:c>
      <x:c r="I87" s="30" t="n">
        <x:f>SUM($C$29/(1+((G87+H87)/2)/$C$9)^$F$27,$C$29/(1+((G87+H87)/2)/$C$9)^$F$28,($C$29+$C$18)/(1+((G87+H87)/2)/$C$9)^$F$29)</x:f>
        <x:v>101.34136986221802</x:v>
      </x:c>
      <x:c r="J87" s="1"/>
    </x:row>
    <x:row r="88" ht="23" customHeight="1">
      <x:c r="A88" s="1"/>
      <x:c r="B88" s="6" t="n">
        <x:v>38</x:v>
      </x:c>
      <x:c r="C88" s="29" t="n">
        <x:f>(D88+E88)/2</x:f>
        <x:v>0.02717823837647301</x:v>
      </x:c>
      <x:c r="D88" s="29" t="n">
        <x:f>IF(F87&gt;$C$21,C87,D87)</x:f>
        <x:v>0.02717823837447212</x:v>
      </x:c>
      <x:c r="E88" s="29" t="n">
        <x:f>IF(F87&gt;$C$21,E87,C87)</x:f>
        <x:v>0.0271782383784739</x:v>
      </x:c>
      <x:c r="F88" s="30" t="n">
        <x:f>SUM($E$27/(1+C88/$C$9)^$F$27,$E$28/(1+C88/$C$9)^$F$28,$E$29/(1+C88/$C$9)^$F$29,$E$30/(1+C88/$C$9)^$F$30,$E$31/(1+C88/$C$9)^$F$31)</x:f>
        <x:v>101.34136986335676</x:v>
      </x:c>
      <x:c r="G88" s="29" t="n">
        <x:f>IF(I87&gt;$C$21,(G87+H87)/2,G87)</x:f>
        <x:v>0.027161919433274298</x:v>
      </x:c>
      <x:c r="H88" s="29" t="n">
        <x:f>IF(I87&gt;$C$21,H87,(G87+H87)/2)</x:f>
        <x:v>0.027161919437276076</x:v>
      </x:c>
      <x:c r="I88" s="30" t="n">
        <x:f>SUM($C$29/(1+((G88+H88)/2)/$C$9)^$F$27,$C$29/(1+((G88+H88)/2)/$C$9)^$F$28,($C$29+$C$18)/(1+((G88+H88)/2)/$C$9)^$F$29)</x:f>
        <x:v>101.34136986269733</x:v>
      </x:c>
      <x:c r="J88" s="1"/>
    </x:row>
    <x:row r="89" ht="23" customHeight="1">
      <x:c r="A89" s="1"/>
      <x:c r="B89" s="6" t="n">
        <x:v>39</x:v>
      </x:c>
      <x:c r="C89" s="29" t="n">
        <x:f>(D89+E89)/2</x:f>
        <x:v>0.027178238377473456</x:v>
      </x:c>
      <x:c r="D89" s="29" t="n">
        <x:f>IF(F88&gt;$C$21,C88,D88)</x:f>
        <x:v>0.02717823837647301</x:v>
      </x:c>
      <x:c r="E89" s="29" t="n">
        <x:f>IF(F88&gt;$C$21,E88,C88)</x:f>
        <x:v>0.0271782383784739</x:v>
      </x:c>
      <x:c r="F89" s="30" t="n">
        <x:f>SUM($E$27/(1+C89/$C$9)^$F$27,$E$28/(1+C89/$C$9)^$F$28,$E$29/(1+C89/$C$9)^$F$29,$E$30/(1+C89/$C$9)^$F$30,$E$31/(1+C89/$C$9)^$F$31)</x:f>
        <x:v>101.34136986293733</x:v>
      </x:c>
      <x:c r="G89" s="29" t="n">
        <x:f>IF(I88&gt;$C$21,(G88+H88)/2,G88)</x:f>
        <x:v>0.027161919433274298</x:v>
      </x:c>
      <x:c r="H89" s="29" t="n">
        <x:f>IF(I88&gt;$C$21,H88,(G88+H88)/2)</x:f>
        <x:v>0.027161919435275187</x:v>
      </x:c>
      <x:c r="I89" s="30" t="n">
        <x:f>SUM($C$29/(1+((G89+H89)/2)/$C$9)^$F$27,$C$29/(1+((G89+H89)/2)/$C$9)^$F$28,($C$29+$C$18)/(1+((G89+H89)/2)/$C$9)^$F$29)</x:f>
        <x:v>101.34136986293701</x:v>
      </x:c>
      <x:c r="J89" s="1"/>
    </x:row>
    <x:row r="90" ht="23" customHeight="1">
      <x:c r="A90" s="1"/>
      <x:c r="B90" s="6" t="n">
        <x:v>40</x:v>
      </x:c>
      <x:c r="C90" s="29" t="n">
        <x:f>(D90+E90)/2</x:f>
        <x:v>0.02717823837697323</x:v>
      </x:c>
      <x:c r="D90" s="29" t="n">
        <x:f>IF(F89&gt;$C$21,C89,D89)</x:f>
        <x:v>0.02717823837647301</x:v>
      </x:c>
      <x:c r="E90" s="29" t="n">
        <x:f>IF(F89&gt;$C$21,E89,C89)</x:f>
        <x:v>0.027178238377473456</x:v>
      </x:c>
      <x:c r="F90" s="30" t="n">
        <x:f>SUM($E$27/(1+C90/$C$9)^$F$27,$E$28/(1+C90/$C$9)^$F$28,$E$29/(1+C90/$C$9)^$F$29,$E$30/(1+C90/$C$9)^$F$30,$E$31/(1+C90/$C$9)^$F$31)</x:f>
        <x:v>101.34136986314704</x:v>
      </x:c>
      <x:c r="G90" s="29" t="n">
        <x:f>IF(I89&gt;$C$21,(G89+H89)/2,G89)</x:f>
        <x:v>0.027161919433274298</x:v>
      </x:c>
      <x:c r="H90" s="29" t="n">
        <x:f>IF(I89&gt;$C$21,H89,(G89+H89)/2)</x:f>
        <x:v>0.02716191943427474</x:v>
      </x:c>
      <x:c r="I90" s="30" t="n">
        <x:f>SUM($C$29/(1+((G90+H90)/2)/$C$9)^$F$27,$C$29/(1+((G90+H90)/2)/$C$9)^$F$28,($C$29+$C$18)/(1+((G90+H90)/2)/$C$9)^$F$29)</x:f>
        <x:v>101.34136986305688</x:v>
      </x:c>
      <x:c r="J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23" customHeight="1">
      <x:c r="A94" s="1"/>
      <x:c r="B94" s="37" t="str">
        <x:v>https://static.sse.com.cn/disclosure/bond/announcement/company/c/new/2023-04-26/143381_20230426_KQKX.pdf</x:v>
      </x:c>
      <x:c r="C94" s="37"/>
      <x:c r="D94" s="37"/>
      <x:c r="E94" s="37"/>
      <x:c r="F94" s="37"/>
      <x:c r="G94" s="37"/>
      <x:c r="H94" s="37"/>
      <x:c r="I94" s="37"/>
      <x:c r="J94" s="37"/>
    </x:row>
    <x:row r="95" ht="23" customHeight="1">
      <x:c r="A95" s="1"/>
      <x:c r="B95" s="37"/>
      <x:c r="C95" s="37"/>
      <x:c r="D95" s="37"/>
      <x:c r="E95" s="37"/>
      <x:c r="F95" s="37"/>
      <x:c r="G95" s="37"/>
      <x:c r="H95" s="37"/>
      <x:c r="I95" s="37"/>
      <x:c r="J95" s="37"/>
    </x:row>
    <x:row r="96" ht="23" customHeight="1">
      <x:c r="A96" s="1"/>
      <x:c r="B96" s="37"/>
      <x:c r="C96" s="37"/>
      <x:c r="D96" s="37"/>
      <x:c r="E96" s="37"/>
      <x:c r="F96" s="37"/>
      <x:c r="G96" s="37"/>
      <x:c r="H96" s="37"/>
      <x:c r="I96" s="37"/>
      <x:c r="J96" s="37"/>
    </x:row>
    <x:row r="97" ht="23" customHeight="1">
      <x:c r="A97" s="1"/>
      <x:c r="B97" s="37"/>
      <x:c r="C97" s="37"/>
      <x:c r="D97" s="37"/>
      <x:c r="E97" s="37"/>
      <x:c r="F97" s="37"/>
      <x:c r="G97" s="37"/>
      <x:c r="H97" s="37"/>
      <x:c r="I97" s="37"/>
      <x:c r="J97" s="37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</x:row>
  </x:sheetData>
  <x:mergeCells>
    <x:mergeCell ref="H8:J10"/>
    <x:mergeCell ref="H12:J14"/>
    <x:mergeCell ref="H16:J18"/>
    <x:mergeCell ref="H20:J22"/>
    <x:mergeCell ref="H26:J28"/>
    <x:mergeCell ref="H30:J32"/>
    <x:mergeCell ref="H34:J36"/>
    <x:mergeCell ref="H38:J40"/>
    <x:mergeCell ref="H42:J44"/>
    <x:mergeCell ref="B94:J97"/>
  </x:mergeCells>
  <x:dataValidations count="1">
    <x:dataValidation type="list" sqref="C11">
      <x:formula1>"Clean,Full"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9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21" hidden="0" customWidth="1"/>
    <x:col min="9" max="9" width="21" hidden="0" customWidth="1"/>
    <x:col min="10" max="10" width="21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</x:row>
    <x:row r="2" ht="23" customHeight="1">
      <x:c r="A2" s="1"/>
      <x:c r="B2" s="3" t="str">
        <x:v>Sino-Ocean Capital — price observations</x:v>
      </x:c>
      <x:c r="C2" s="1"/>
      <x:c r="D2" s="1"/>
      <x:c r="E2" s="1"/>
      <x:c r="F2" s="1"/>
      <x:c r="G2" s="1"/>
      <x:c r="H2" s="1"/>
      <x:c r="I2" s="1"/>
      <x:c r="J2" s="1"/>
    </x:row>
    <x:row r="3" ht="23" customHeight="1">
      <x:c r="A3" s="1"/>
      <x:c r="B3" s="5" t="str">
        <x:v>17 March 2023. Price pairs transcribed in the original coursework.</x:v>
      </x:c>
      <x:c r="C3" s="1"/>
      <x:c r="D3" s="1"/>
      <x:c r="E3" s="1"/>
      <x:c r="F3" s="1"/>
      <x:c r="G3" s="1"/>
      <x:c r="H3" s="1"/>
      <x:c r="I3" s="1"/>
      <x:c r="J3" s="1"/>
    </x:row>
    <x:row r="4" ht="23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23" customHeight="1">
      <x:c r="A5" s="1"/>
      <x:c r="B5" s="1"/>
      <x:c r="C5" s="1"/>
      <x:c r="D5" s="1"/>
      <x:c r="E5" s="1"/>
      <x:c r="F5" s="1"/>
      <x:c r="G5" s="1"/>
      <x:c r="H5" s="1"/>
      <x:c r="I5" s="1"/>
      <x:c r="J5" s="1"/>
    </x:row>
    <x:row r="6" ht="29" customHeight="1">
      <x:c r="A6" s="1"/>
      <x:c r="B6" s="25" t="str">
        <x:v>Bond</x:v>
      </x:c>
      <x:c r="C6" s="25" t="str">
        <x:v>Earlier price</x:v>
      </x:c>
      <x:c r="D6" s="25" t="str">
        <x:v>Later price</x:v>
      </x:c>
      <x:c r="E6" s="25" t="str">
        <x:v>Change</x:v>
      </x:c>
      <x:c r="F6" s="25" t="str">
        <x:v>Price return</x:v>
      </x:c>
      <x:c r="G6" s="1"/>
      <x:c r="H6" s="1"/>
      <x:c r="I6" s="1"/>
      <x:c r="J6" s="1"/>
    </x:row>
    <x:row r="7" ht="23" customHeight="1">
      <x:c r="A7" s="1"/>
      <x:c r="B7" s="1" t="str">
        <x:v>175093 — 20 Yuanzi 01</x:v>
      </x:c>
      <x:c r="C7" s="16" t="n">
        <x:v>70.495</x:v>
      </x:c>
      <x:c r="D7" s="16" t="n">
        <x:v>65.003</x:v>
      </x:c>
      <x:c r="E7" s="21" t="n">
        <x:f>D7-C7</x:f>
        <x:v>-5.492000000000004</x:v>
      </x:c>
      <x:c r="F7" s="36" t="n">
        <x:f>D7/C7-1</x:f>
        <x:v>-0.07790623448471523</x:v>
      </x:c>
      <x:c r="G7" s="1"/>
      <x:c r="H7" s="1"/>
      <x:c r="I7" s="1"/>
      <x:c r="J7" s="1"/>
    </x:row>
    <x:row r="8" ht="23" customHeight="1">
      <x:c r="A8" s="1"/>
      <x:c r="B8" s="1" t="str">
        <x:v>175670 — 21 Yuanzi 01</x:v>
      </x:c>
      <x:c r="C8" s="16" t="n">
        <x:v>33</x:v>
      </x:c>
      <x:c r="D8" s="16" t="n">
        <x:v>67.999</x:v>
      </x:c>
      <x:c r="E8" s="21" t="n">
        <x:f>D8-C8</x:f>
        <x:v>34.998999999999995</x:v>
      </x:c>
      <x:c r="F8" s="36" t="n">
        <x:f>D8/C8-1</x:f>
        <x:v>1.0605757575757573</x:v>
      </x:c>
      <x:c r="G8" s="1"/>
      <x:c r="H8" s="1"/>
      <x:c r="I8" s="1"/>
      <x:c r="J8" s="1"/>
    </x:row>
    <x:row r="9" ht="23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</x:row>
    <x:row r="10" ht="23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</x:row>
    <x:row r="11" ht="23" customHeight="1">
      <x:c r="A11" s="1"/>
      <x:c r="B11" s="1"/>
      <x:c r="C11" s="1"/>
      <x:c r="D11" s="1"/>
      <x:c r="E11" s="1"/>
      <x:c r="F11" s="1"/>
      <x:c r="G11" s="1"/>
      <x:c r="H11" s="1"/>
      <x:c r="I11" s="1"/>
      <x:c r="J11" s="1"/>
    </x:row>
    <x:row r="12" ht="23" customHeight="1">
      <x:c r="A12" s="1"/>
      <x:c r="B12" s="1" t="str">
        <x:v>Issuer</x:v>
      </x:c>
      <x:c r="C12" s="1" t="str">
        <x:v>Sino-Ocean Capital Limited</x:v>
      </x:c>
      <x:c r="D12" s="1"/>
      <x:c r="E12" s="1"/>
      <x:c r="F12" s="1"/>
      <x:c r="G12" s="1"/>
      <x:c r="H12" s="1"/>
      <x:c r="I12" s="1"/>
      <x:c r="J12" s="1"/>
    </x:row>
    <x:row r="13" ht="23" customHeight="1">
      <x:c r="A13" s="1"/>
      <x:c r="B13" s="1"/>
      <x:c r="C13" s="1"/>
      <x:c r="D13" s="1"/>
      <x:c r="E13" s="1"/>
      <x:c r="F13" s="1"/>
      <x:c r="G13" s="1"/>
      <x:c r="H13" s="1"/>
      <x:c r="I13" s="1"/>
      <x:c r="J13" s="1"/>
    </x:row>
    <x:row r="14" ht="23" customHeight="1">
      <x:c r="A14" s="1"/>
      <x:c r="B14" s="1" t="str">
        <x:v>20 Yuanzi 01 maturity</x:v>
      </x:c>
      <x:c r="C14" s="17" t="n">
        <x:v>45178</x:v>
      </x:c>
      <x:c r="D14" s="1"/>
      <x:c r="E14" s="1"/>
      <x:c r="F14" s="1"/>
      <x:c r="G14" s="1"/>
      <x:c r="H14" s="1"/>
      <x:c r="I14" s="1"/>
      <x:c r="J14" s="1"/>
    </x:row>
    <x:row r="15" ht="23" customHeight="1">
      <x:c r="A15" s="1"/>
      <x:c r="B15" s="1" t="str">
        <x:v>21 Yuanzi 01 maturity</x:v>
      </x:c>
      <x:c r="C15" s="17" t="n">
        <x:v>45453</x:v>
      </x:c>
      <x:c r="D15" s="1"/>
      <x:c r="E15" s="1"/>
      <x:c r="F15" s="1"/>
      <x:c r="G15" s="1"/>
      <x:c r="H15" s="1"/>
      <x:c r="I15" s="1"/>
      <x:c r="J15" s="1"/>
    </x:row>
    <x:row r="16" ht="23" customHeight="1">
      <x:c r="A16" s="1"/>
      <x:c r="B16" s="1" t="str">
        <x:v>21 Yuanzi 01 put date</x:v>
      </x:c>
      <x:c r="C16" s="17" t="n">
        <x:v>45087</x:v>
      </x:c>
      <x:c r="D16" s="1"/>
      <x:c r="E16" s="1"/>
      <x:c r="F16" s="1"/>
      <x:c r="G16" s="1"/>
      <x:c r="H16" s="1"/>
      <x:c r="I16" s="1"/>
      <x:c r="J16" s="1"/>
    </x:row>
    <x:row r="17" ht="23" customHeight="1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 ht="23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</x:row>
    <x:row r="19" ht="38" customHeight="1">
      <x:c r="A19" s="1"/>
      <x:c r="B19" s="27" t="str">
        <x:v>Source: original final coursework, section 3, attributed there to East Money.</x:v>
      </x:c>
      <x:c r="C19" s="27"/>
      <x:c r="D19" s="27"/>
      <x:c r="E19" s="27"/>
      <x:c r="F19" s="27"/>
      <x:c r="G19" s="1"/>
      <x:c r="H19" s="1"/>
      <x:c r="I19" s="1"/>
      <x:c r="J19" s="1"/>
    </x:row>
    <x:row r="20" ht="23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</x:row>
    <x:row r="21" ht="38" customHeight="1">
      <x:c r="A21" s="1"/>
      <x:c r="B21" s="27" t="str">
        <x:v>Returns describe the supplied price pairs. They do not establish market-wide rankings.</x:v>
      </x:c>
      <x:c r="C21" s="27"/>
      <x:c r="D21" s="27"/>
      <x:c r="E21" s="27"/>
      <x:c r="F21" s="27"/>
      <x:c r="G21" s="1"/>
      <x:c r="H21" s="1"/>
      <x:c r="I21" s="1"/>
      <x:c r="J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</x:row>
    <x:row r="23" ht="38" customHeight="1">
      <x:c r="A23" s="1"/>
      <x:c r="B23" s="27" t="str">
        <x:v>No coupon, trade-time, volume or total-return adjustment is included.</x:v>
      </x:c>
      <x:c r="C23" s="27"/>
      <x:c r="D23" s="27"/>
      <x:c r="E23" s="27"/>
      <x:c r="F23" s="27"/>
      <x:c r="G23" s="1"/>
      <x:c r="H23" s="1"/>
      <x:c r="I23" s="1"/>
      <x:c r="J23" s="1"/>
    </x:row>
    <x:row r="24" ht="23" customHeight="1">
      <x:c r="A24" s="1"/>
      <x:c r="B24" s="1"/>
      <x:c r="C24" s="1"/>
      <x:c r="D24" s="1"/>
      <x:c r="E24" s="1"/>
      <x:c r="F24" s="1"/>
      <x:c r="G24" s="1"/>
      <x:c r="H24" s="1"/>
      <x:c r="I24" s="1"/>
      <x:c r="J24" s="1"/>
    </x:row>
    <x:row r="25" ht="38" customHeight="1">
      <x:c r="A25" s="1"/>
      <x:c r="B25" s="27" t="str">
        <x:v>2022 bond annual report, pp.14–16: terms and 2022 change to 20 Yuanzi 01 payment.</x:v>
      </x:c>
      <x:c r="C25" s="27"/>
      <x:c r="D25" s="27"/>
      <x:c r="E25" s="27"/>
      <x:c r="F25" s="27"/>
      <x:c r="G25" s="1"/>
      <x:c r="H25" s="1"/>
      <x:c r="I25" s="1"/>
      <x:c r="J25" s="1"/>
    </x:row>
    <x:row r="26" ht="23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</x:row>
    <x:row r="27" ht="38" customHeight="1">
      <x:c r="A27" s="1"/>
      <x:c r="B27" s="27" t="str">
        <x:v>The report was published in May 2023 and is used retrospectively for historical terms.</x:v>
      </x:c>
      <x:c r="C27" s="27"/>
      <x:c r="D27" s="27"/>
      <x:c r="E27" s="27"/>
      <x:c r="F27" s="27"/>
      <x:c r="G27" s="1"/>
      <x:c r="H27" s="1"/>
      <x:c r="I27" s="1"/>
      <x:c r="J27" s="1"/>
    </x:row>
    <x:row r="28" ht="23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</x:row>
    <x:row r="29" ht="38" customHeight="1">
      <x:c r="A29" s="1"/>
      <x:c r="B29" s="27" t="str">
        <x:v>A put option is a contractual claim. Credit risk affects whether payment can be made.</x:v>
      </x:c>
      <x:c r="C29" s="27"/>
      <x:c r="D29" s="27"/>
      <x:c r="E29" s="27"/>
      <x:c r="F29" s="27"/>
      <x:c r="G29" s="1"/>
      <x:c r="H29" s="1"/>
      <x:c r="I29" s="1"/>
      <x:c r="J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</x:row>
    <x:row r="31" ht="38" customHeight="1">
      <x:c r="A31" s="1"/>
      <x:c r="B31" s="27" t="str">
        <x:v>The price pairs alone do not establish the cause of the one-day divergence.</x:v>
      </x:c>
      <x:c r="C31" s="27"/>
      <x:c r="D31" s="27"/>
      <x:c r="E31" s="27"/>
      <x:c r="F31" s="27"/>
      <x:c r="G31" s="1"/>
      <x:c r="H31" s="1"/>
      <x:c r="I31" s="1"/>
      <x:c r="J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</x:row>
    <x:row r="33" ht="23" customHeight="1">
      <x:c r="A33" s="1"/>
      <x:c r="B33" s="1"/>
      <x:c r="C33" s="1"/>
      <x:c r="D33" s="1"/>
      <x:c r="E33" s="1"/>
      <x:c r="F33" s="1"/>
      <x:c r="G33" s="1"/>
      <x:c r="H33" s="1"/>
      <x:c r="I33" s="1"/>
      <x:c r="J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</x:row>
    <x:row r="35" ht="23" customHeight="1">
      <x:c r="A35" s="1"/>
      <x:c r="B35" s="1"/>
      <x:c r="C35" s="1"/>
      <x:c r="D35" s="1"/>
      <x:c r="E35" s="1"/>
      <x:c r="F35" s="1"/>
      <x:c r="G35" s="1"/>
      <x:c r="H35" s="1"/>
      <x:c r="I35" s="1"/>
      <x:c r="J35" s="1"/>
    </x:row>
    <x:row r="36" ht="23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</x:row>
    <x:row r="37" ht="23" customHeight="1">
      <x:c r="A37" s="1"/>
      <x:c r="B37" s="1"/>
      <x:c r="C37" s="1"/>
      <x:c r="D37" s="1"/>
      <x:c r="E37" s="1"/>
      <x:c r="F37" s="1"/>
      <x:c r="G37" s="1"/>
      <x:c r="H37" s="1"/>
      <x:c r="I37" s="1"/>
      <x:c r="J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</x:row>
    <x:row r="94" ht="23" customHeight="1">
      <x:c r="A94" s="1"/>
      <x:c r="B94" s="37" t="str">
        <x:v>https://static.sse.com.cn/disclosure/bond/announcement/company/c/new/2023-05-31/175670_20230531_A06X.pdf</x:v>
      </x:c>
      <x:c r="C94" s="37"/>
      <x:c r="D94" s="37"/>
      <x:c r="E94" s="37"/>
      <x:c r="F94" s="37"/>
      <x:c r="G94" s="37"/>
      <x:c r="H94" s="37"/>
      <x:c r="I94" s="37"/>
      <x:c r="J94" s="37"/>
    </x:row>
    <x:row r="95" ht="23" customHeight="1">
      <x:c r="A95" s="1"/>
      <x:c r="B95" s="37"/>
      <x:c r="C95" s="37"/>
      <x:c r="D95" s="37"/>
      <x:c r="E95" s="37"/>
      <x:c r="F95" s="37"/>
      <x:c r="G95" s="37"/>
      <x:c r="H95" s="37"/>
      <x:c r="I95" s="37"/>
      <x:c r="J95" s="37"/>
    </x:row>
    <x:row r="96" ht="23" customHeight="1">
      <x:c r="A96" s="1"/>
      <x:c r="B96" s="37"/>
      <x:c r="C96" s="37"/>
      <x:c r="D96" s="37"/>
      <x:c r="E96" s="37"/>
      <x:c r="F96" s="37"/>
      <x:c r="G96" s="37"/>
      <x:c r="H96" s="37"/>
      <x:c r="I96" s="37"/>
      <x:c r="J96" s="37"/>
    </x:row>
    <x:row r="97" ht="23" customHeight="1">
      <x:c r="A97" s="1"/>
      <x:c r="B97" s="37"/>
      <x:c r="C97" s="37"/>
      <x:c r="D97" s="37"/>
      <x:c r="E97" s="37"/>
      <x:c r="F97" s="37"/>
      <x:c r="G97" s="37"/>
      <x:c r="H97" s="37"/>
      <x:c r="I97" s="37"/>
      <x:c r="J97" s="37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</x:row>
    <x:row r="100" ht="25" customHeight="1">
      <x:c r="A100" s="1"/>
      <x:c r="B100" s="44" t="str">
        <x:v>Historical Events and Subsequent Disclosures</x:v>
      </x:c>
      <x:c r="C100" s="1"/>
      <x:c r="D100" s="1"/>
      <x:c r="E100" s="1"/>
      <x:c r="F100" s="1"/>
      <x:c r="G100" s="1"/>
      <x:c r="H100" s="1"/>
      <x:c r="I100" s="1"/>
      <x:c r="J100" s="1"/>
    </x:row>
    <x:row r="101" ht="25" customHeight="1">
      <x:c r="B101" s="1"/>
      <x:c r="C101" s="1"/>
      <x:c r="D101" s="1"/>
      <x:c r="E101" s="1"/>
      <x:c r="F101" s="1"/>
    </x:row>
    <x:row r="102" ht="25" customHeight="1">
      <x:c r="B102" s="39" t="str">
        <x:v>Event / publication date</x:v>
      </x:c>
      <x:c r="C102" s="39" t="str">
        <x:v>Event / disclosure</x:v>
      </x:c>
      <x:c r="D102" s="39" t="str">
        <x:v>Detail</x:v>
      </x:c>
      <x:c r="E102" s="39" t="str">
        <x:v>Relevance</x:v>
      </x:c>
      <x:c r="F102" s="39" t="str">
        <x:v>Reference</x:v>
      </x:c>
    </x:row>
    <x:row r="103" ht="90" customHeight="1">
      <x:c r="B103" s="55" t="n">
        <x:v>44083</x:v>
      </x:c>
      <x:c r="C103" s="56" t="str">
        <x:v>20 Yuanzi 01 accrual begins</x:v>
      </x:c>
      <x:c r="D103" s="56" t="str">
        <x:v>Contractual maturity: 9 Sep 2023.</x:v>
      </x:c>
      <x:c r="E103" s="56" t="str">
        <x:v>Original financing terms.</x:v>
      </x:c>
      <x:c r="F103" s="56" t="str">
        <x:v>2022 bond annual report, p.14.</x:v>
      </x:c>
    </x:row>
    <x:row r="104" ht="90" customHeight="1">
      <x:c r="B104" s="55" t="n">
        <x:v>44357</x:v>
      </x:c>
      <x:c r="C104" s="56" t="str">
        <x:v>21 Yuanzi 01 accrual begins</x:v>
      </x:c>
      <x:c r="D104" s="56" t="str">
        <x:v>Put: 10 Jun 2023; maturity: 10 Jun 2024.</x:v>
      </x:c>
      <x:c r="E104" s="56" t="str">
        <x:v>Different put and maturity horizons.</x:v>
      </x:c>
      <x:c r="F104" s="56" t="str">
        <x:v>2022 bond annual report, pp.14–15.</x:v>
      </x:c>
    </x:row>
    <x:row r="105" ht="90" customHeight="1">
      <x:c r="B105" s="55" t="n">
        <x:v>44809</x:v>
      </x:c>
      <x:c r="C105" s="56" t="str">
        <x:v>20 Yuanzi 01 payment amendment</x:v>
      </x:c>
      <x:c r="D105" s="56" t="str">
        <x:v>Payment set for 9 Sep 2023, regardless of second-year put exercise.</x:v>
      </x:c>
      <x:c r="E105" s="56" t="str">
        <x:v>The original put terms had been amended.</x:v>
      </x:c>
      <x:c r="F105" s="56" t="str">
        <x:v>2022 bond annual report, pp.15–16, published May 2023.</x:v>
      </x:c>
    </x:row>
    <x:row r="106" ht="90" customHeight="1">
      <x:c r="B106" s="55" t="n">
        <x:v>45002</x:v>
      </x:c>
      <x:c r="C106" s="56" t="str">
        <x:v>Coursework price observations</x:v>
      </x:c>
      <x:c r="D106" s="56" t="str">
        <x:v>20 Yuanzi 01 fell 7.79%; 21 Yuanzi 01 rose 106.06%.</x:v>
      </x:c>
      <x:c r="E106" s="56" t="str">
        <x:v>Research observation; exact trade sequence not established.</x:v>
      </x:c>
      <x:c r="F106" s="56" t="str">
        <x:v>Original final coursework, section 3.</x:v>
      </x:c>
    </x:row>
    <x:row r="107" ht="90" customHeight="1">
      <x:c r="B107" s="55" t="n">
        <x:v>45055</x:v>
      </x:c>
      <x:c r="C107" s="56" t="str">
        <x:v>Published: put implementation notice</x:v>
      </x:c>
      <x:c r="D107" s="56" t="str">
        <x:v>Registration: 15–17 May 2023; payment scheduled for 12 Jun.</x:v>
      </x:c>
      <x:c r="E107" s="56" t="str">
        <x:v>Later disclosure; not March-event evidence.</x:v>
      </x:c>
      <x:c r="F107" s="56" t="str">
        <x:v>Issuer notice, pp.1–2 (May 2023).</x:v>
      </x:c>
    </x:row>
    <x:row r="108" ht="90" customHeight="1">
      <x:c r="B108" s="55" t="n">
        <x:v>45084</x:v>
      </x:c>
      <x:c r="C108" s="56" t="str">
        <x:v>Published: put result notice</x:v>
      </x:c>
      <x:c r="D108" s="56" t="str">
        <x:v>RMB455 million registered; put-payment funding not yet secured.</x:v>
      </x:c>
      <x:c r="E108" s="56" t="str">
        <x:v>Later evidence of payment uncertainty; not proof of March causation.</x:v>
      </x:c>
      <x:c r="F108" s="56" t="str">
        <x:v>Issuer notice, pp.1–2 (June 2023).</x:v>
      </x:c>
    </x:row>
    <x:row r="109" ht="25" customHeight="1">
      <x:c r="B109" s="1"/>
      <x:c r="C109" s="1"/>
      <x:c r="D109" s="1"/>
      <x:c r="E109" s="1"/>
      <x:c r="F109" s="1"/>
    </x:row>
    <x:row r="110" ht="25" customHeight="1">
      <x:c r="B110" s="1"/>
      <x:c r="C110" s="1"/>
      <x:c r="D110" s="1"/>
      <x:c r="E110" s="1"/>
      <x:c r="F110" s="1"/>
    </x:row>
    <x:row r="111" ht="32" customHeight="1">
      <x:c r="B111" s="27" t="str">
        <x:v>Dates follow contractual terms. The May notice schedules put payment for 12 June 2023.</x:v>
      </x:c>
      <x:c r="C111" s="27"/>
      <x:c r="D111" s="27"/>
      <x:c r="E111" s="27"/>
      <x:c r="F111" s="27"/>
    </x:row>
    <x:row r="112" ht="32" customHeight="1">
      <x:c r="B112" s="27" t="str">
        <x:v>May and June notices are later disclosures, separate from the 17 March observation.</x:v>
      </x:c>
      <x:c r="C112" s="27"/>
      <x:c r="D112" s="27"/>
      <x:c r="E112" s="27"/>
      <x:c r="F112" s="27"/>
    </x:row>
    <x:row r="113" ht="32" customHeight="1">
      <x:c r="B113" s="27" t="str">
        <x:v>The original issuer notices are linked below.</x:v>
      </x:c>
      <x:c r="C113" s="27"/>
      <x:c r="D113" s="27"/>
      <x:c r="E113" s="27"/>
      <x:c r="F113" s="27"/>
    </x:row>
    <x:row r="114" ht="25" customHeight="1">
      <x:c r="B114" s="1"/>
      <x:c r="C114" s="1"/>
      <x:c r="D114" s="1"/>
      <x:c r="E114" s="1"/>
      <x:c r="F114" s="1"/>
    </x:row>
    <x:row r="115" ht="25" customHeight="1">
      <x:c r="B115" s="1"/>
      <x:c r="C115" s="1"/>
      <x:c r="D115" s="1"/>
      <x:c r="E115" s="1"/>
      <x:c r="F115" s="1"/>
    </x:row>
    <x:row r="116" ht="25" customHeight="1">
      <x:c r="B116" s="28" t="str">
        <x:v>https://static.sse.com.cn/disclosure/bond/announcement/company/c/new/2023-05-09/175670_20230509_R3EX.pdf</x:v>
      </x:c>
      <x:c r="C116" s="28"/>
      <x:c r="D116" s="28"/>
      <x:c r="E116" s="28"/>
      <x:c r="F116" s="28"/>
    </x:row>
    <x:row r="117" ht="25" customHeight="1">
      <x:c r="B117" s="28"/>
      <x:c r="C117" s="28"/>
      <x:c r="D117" s="28"/>
      <x:c r="E117" s="28"/>
      <x:c r="F117" s="28"/>
    </x:row>
    <x:row r="118" ht="25" customHeight="1">
      <x:c r="B118" s="28"/>
      <x:c r="C118" s="28"/>
      <x:c r="D118" s="28"/>
      <x:c r="E118" s="28"/>
      <x:c r="F118" s="28"/>
    </x:row>
    <x:row r="119" ht="25" customHeight="1">
      <x:c r="B119" s="1"/>
      <x:c r="C119" s="1"/>
      <x:c r="D119" s="1"/>
      <x:c r="E119" s="1"/>
      <x:c r="F119" s="1"/>
    </x:row>
    <x:row r="120" ht="25" customHeight="1">
      <x:c r="B120" s="28" t="str">
        <x:v>https://static.sse.com.cn/disclosure/bond/announcement/company/c/new/2023-06-07/175670_20230607_UA2Q.pdf</x:v>
      </x:c>
      <x:c r="C120" s="28"/>
      <x:c r="D120" s="28"/>
      <x:c r="E120" s="28"/>
      <x:c r="F120" s="28"/>
    </x:row>
    <x:row r="121" ht="25" customHeight="1">
      <x:c r="B121" s="28"/>
      <x:c r="C121" s="28"/>
      <x:c r="D121" s="28"/>
      <x:c r="E121" s="28"/>
      <x:c r="F121" s="28"/>
    </x:row>
    <x:row r="122" ht="25" customHeight="1">
      <x:c r="B122" s="28"/>
      <x:c r="C122" s="28"/>
      <x:c r="D122" s="28"/>
      <x:c r="E122" s="28"/>
      <x:c r="F122" s="28"/>
    </x:row>
    <x:row r="123" ht="25" customHeight="1">
      <x:c r="B123" s="1"/>
      <x:c r="C123" s="1"/>
      <x:c r="D123" s="1"/>
      <x:c r="E123" s="1"/>
      <x:c r="F123" s="1"/>
    </x:row>
    <x:row r="124" ht="25" customHeight="1">
      <x:c r="B124" s="1"/>
      <x:c r="C124" s="1"/>
      <x:c r="D124" s="1"/>
      <x:c r="E124" s="1"/>
      <x:c r="F124" s="1"/>
    </x:row>
    <x:row r="125" ht="25" customHeight="1">
      <x:c r="B125" s="1"/>
      <x:c r="C125" s="1"/>
      <x:c r="D125" s="1"/>
      <x:c r="E125" s="1"/>
      <x:c r="F125" s="1"/>
    </x:row>
    <x:row r="126" ht="25" customHeight="1">
      <x:c r="B126" s="1"/>
      <x:c r="C126" s="1"/>
      <x:c r="D126" s="1"/>
      <x:c r="E126" s="1"/>
      <x:c r="F126" s="1"/>
    </x:row>
    <x:row r="127" ht="25" customHeight="1">
      <x:c r="B127" s="1"/>
      <x:c r="C127" s="1"/>
      <x:c r="D127" s="1"/>
      <x:c r="E127" s="1"/>
      <x:c r="F127" s="1"/>
    </x:row>
    <x:row r="128" ht="25" customHeight="1">
      <x:c r="B128" s="1"/>
      <x:c r="C128" s="1"/>
      <x:c r="D128" s="1"/>
      <x:c r="E128" s="1"/>
      <x:c r="F128" s="1"/>
    </x:row>
    <x:row r="129" ht="25" customHeight="1">
      <x:c r="B129" s="1"/>
      <x:c r="C129" s="1"/>
      <x:c r="D129" s="1"/>
      <x:c r="E129" s="1"/>
      <x:c r="F129" s="1"/>
    </x:row>
    <x:row r="130" ht="25" customHeight="1">
      <x:c r="B130" s="1"/>
      <x:c r="C130" s="1"/>
      <x:c r="D130" s="1"/>
      <x:c r="E130" s="1"/>
      <x:c r="F130" s="1"/>
    </x:row>
    <x:row r="131" ht="25" customHeight="1">
      <x:c r="B131" s="1"/>
      <x:c r="C131" s="1"/>
      <x:c r="D131" s="1"/>
      <x:c r="E131" s="1"/>
      <x:c r="F131" s="1"/>
    </x:row>
    <x:row r="132" ht="25" customHeight="1">
      <x:c r="B132" s="1"/>
      <x:c r="C132" s="1"/>
      <x:c r="D132" s="1"/>
      <x:c r="E132" s="1"/>
      <x:c r="F132" s="1"/>
    </x:row>
    <x:row r="133" ht="25" customHeight="1">
      <x:c r="B133" s="1"/>
      <x:c r="C133" s="1"/>
      <x:c r="D133" s="1"/>
      <x:c r="E133" s="1"/>
      <x:c r="F133" s="1"/>
    </x:row>
    <x:row r="134" ht="25" customHeight="1">
      <x:c r="B134" s="1"/>
      <x:c r="C134" s="1"/>
      <x:c r="D134" s="1"/>
      <x:c r="E134" s="1"/>
      <x:c r="F134" s="1"/>
    </x:row>
  </x:sheetData>
  <x:mergeCells>
    <x:mergeCell ref="B19:F19"/>
    <x:mergeCell ref="B21:F21"/>
    <x:mergeCell ref="B23:F23"/>
    <x:mergeCell ref="B25:F25"/>
    <x:mergeCell ref="B27:F27"/>
    <x:mergeCell ref="B29:F29"/>
    <x:mergeCell ref="B31:F31"/>
    <x:mergeCell ref="B94:J97"/>
    <x:mergeCell ref="B116:F118"/>
    <x:mergeCell ref="B120:F122"/>
    <x:mergeCell ref="B111:F111"/>
    <x:mergeCell ref="B112:F112"/>
    <x:mergeCell ref="B113:F11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3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9" max="19" width="18" hidden="0" customWidth="1"/>
  </x:cols>
  <x:sheetData>
    <x:row r="1" ht="24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 ht="24" customHeight="1">
      <x:c r="A2" s="1"/>
      <x:c r="B2" s="3" t="str">
        <x:v>Bond Price and Yield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4" customHeight="1">
      <x:c r="A3" s="1"/>
      <x:c r="B3" s="1" t="str">
        <x:v>RMB per 100 face value. Fixed promised cash flows, pre-tax.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4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4" customHeight="1">
      <x:c r="A5" s="1"/>
      <x:c r="B5" s="47" t="str">
        <x:v>Bond</x:v>
      </x:c>
      <x:c r="C5" s="47" t="str">
        <x:v>Nominal YTM</x:v>
      </x:c>
      <x:c r="D5" s="47" t="str">
        <x:v>Clean price</x:v>
      </x:c>
      <x:c r="E5" s="47" t="str">
        <x:v>Effective yield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4" customHeight="1">
      <x:c r="A6" s="1"/>
      <x:c r="B6" s="48" t="str">
        <x:v>010504 Treasury</x:v>
      </x:c>
      <x:c r="C6" s="49" t="n">
        <x:f>'Tbond_010504'!C5</x:f>
        <x:v>0.01915930739610302</x:v>
      </x:c>
      <x:c r="D6" s="50" t="n">
        <x:f>IF(ISNUMBER('Tbond_010504'!C21),'Tbond_010504'!C21-'Tbond_010504'!C20,"n.a.")</x:f>
        <x:v>104.648</x:v>
      </x:c>
      <x:c r="E6" s="49" t="n">
        <x:f>'Tbond_010504'!C6</x:f>
        <x:v>0.019251077161077434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4" customHeight="1">
      <x:c r="A7" s="1"/>
      <x:c r="B7" s="48" t="str">
        <x:v>018020 CDB</x:v>
      </x:c>
      <x:c r="C7" s="49" t="n">
        <x:f>'CDB_018020'!C5</x:f>
        <x:v>0.025948738597116956</x:v>
      </x:c>
      <x:c r="D7" s="50" t="n">
        <x:f>IF(ISNUMBER('CDB_018020'!C21),'CDB_018020'!C21-'CDB_018020'!C20,"n.a.")</x:f>
        <x:v>99.957</x:v>
      </x:c>
      <x:c r="E7" s="49" t="n">
        <x:f>'CDB_018020'!C6</x:f>
        <x:v>0.025948738597116883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24" customHeight="1">
      <x:c r="A8" s="1"/>
      <x:c r="B8" s="48" t="str">
        <x:v>184575 Nanjing</x:v>
      </x:c>
      <x:c r="C8" s="49" t="n">
        <x:f>'Nanjing_184575'!C5</x:f>
        <x:v>0.02717823837697323</x:v>
      </x:c>
      <x:c r="D8" s="50" t="n">
        <x:f>IF(ISNUMBER('Nanjing_184575'!C21),'Nanjing_184575'!C21-'Nanjing_184575'!C20,"n.a.")</x:f>
        <x:v>100</x:v>
      </x:c>
      <x:c r="E8" s="49" t="n">
        <x:f>'Nanjing_184575'!C6</x:f>
        <x:v>0.027178238376973196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24" customHeight="1">
      <x:c r="A9" s="1"/>
      <x:c r="B9" s="48"/>
      <x:c r="C9" s="48"/>
      <x:c r="D9" s="48"/>
      <x:c r="E9" s="48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24" customHeight="1">
      <x:c r="A10" s="1"/>
      <x:c r="B10" s="51" t="str">
        <x:v>The curves hold each bond's scheduled cash flows constant. The 184575 maturity curve assumes no coupon change after the 2025 reset option.</x:v>
      </x:c>
      <x:c r="C10" s="51"/>
      <x:c r="D10" s="51"/>
      <x:c r="E10" s="5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24" customHeight="1">
      <x:c r="A11" s="1"/>
      <x:c r="B11" s="51"/>
      <x:c r="C11" s="51"/>
      <x:c r="D11" s="51"/>
      <x:c r="E11" s="5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 ht="24" customHeight="1">
      <x:c r="A12" s="1"/>
      <x:c r="B12" s="51"/>
      <x:c r="C12" s="51"/>
      <x:c r="D12" s="51"/>
      <x:c r="E12" s="5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 ht="24" customHeight="1">
      <x:c r="A13" s="1"/>
      <x:c r="B13" s="48"/>
      <x:c r="C13" s="48"/>
      <x:c r="D13" s="48"/>
      <x:c r="E13" s="48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 ht="24" customHeight="1">
      <x:c r="A14" s="1"/>
      <x:c r="B14" s="48"/>
      <x:c r="C14" s="48"/>
      <x:c r="D14" s="48"/>
      <x:c r="E14" s="48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 ht="24" customHeight="1">
      <x:c r="A15" s="1"/>
      <x:c r="B15" s="47" t="str">
        <x:v>Nominal yield</x:v>
      </x:c>
      <x:c r="C15" s="47" t="str">
        <x:v>010504 Treasury</x:v>
      </x:c>
      <x:c r="D15" s="47" t="str">
        <x:v>018020 CDB</x:v>
      </x:c>
      <x:c r="E15" s="47" t="str">
        <x:v>184575 Nanjing</x:v>
      </x:c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S15" s="46" t="str">
        <x:v>Nominal yield</x:v>
      </x:c>
    </x:row>
    <x:row r="16" ht="24" customHeight="1">
      <x:c r="A16" s="1"/>
      <x:c r="B16" s="52" t="n">
        <x:v>0</x:v>
      </x:c>
      <x:c r="C16" s="53" t="n">
        <x:f>SUM('Tbond_010504'!E27/(1+$B16/'Tbond_010504'!$C$9)^'Tbond_010504'!F27,'Tbond_010504'!E28/(1+$B16/'Tbond_010504'!$C$9)^'Tbond_010504'!F28,'Tbond_010504'!E29/(1+$B16/'Tbond_010504'!$C$9)^'Tbond_010504'!F29,'Tbond_010504'!E30/(1+$B16/'Tbond_010504'!$C$9)^'Tbond_010504'!F30,'Tbond_010504'!E31/(1+$B16/'Tbond_010504'!$C$9)^'Tbond_010504'!F31)-'Tbond_010504'!$C$20</x:f>
        <x:v>108.93527624309392</x:v>
      </x:c>
      <x:c r="D16" s="53" t="n">
        <x:f>SUM('CDB_018020'!E27/(1+$B16/'CDB_018020'!$C$9)^'CDB_018020'!F27,'CDB_018020'!E28/(1+$B16/'CDB_018020'!$C$9)^'CDB_018020'!F28,'CDB_018020'!E29/(1+$B16/'CDB_018020'!$C$9)^'CDB_018020'!F29)-'CDB_018020'!$C$20</x:f>
        <x:v>107.65540983606557</x:v>
      </x:c>
      <x:c r="E16" s="53" t="n">
        <x:f>SUM('Nanjing_184575'!E27/(1+$B16/'Nanjing_184575'!$C$9)^'Nanjing_184575'!F27,'Nanjing_184575'!E28/(1+$B16/'Nanjing_184575'!$C$9)^'Nanjing_184575'!F28,'Nanjing_184575'!E29/(1+$B16/'Nanjing_184575'!$C$9)^'Nanjing_184575'!F29,'Nanjing_184575'!E30/(1+$B16/'Nanjing_184575'!$C$9)^'Nanjing_184575'!F30,'Nanjing_184575'!E31/(1+$B16/'Nanjing_184575'!$C$9)^'Nanjing_184575'!F31)-'Nanjing_184575'!$C$20</x:f>
        <x:v>112.2586301369863</x:v>
      </x:c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S16" s="46" t="str">
        <x:f>TEXT(B16,"0.00%")</x:f>
        <x:v>0.00%</x:v>
      </x:c>
    </x:row>
    <x:row r="17" ht="24" customHeight="1">
      <x:c r="A17" s="1"/>
      <x:c r="B17" s="52" t="n">
        <x:v>0.0025</x:v>
      </x:c>
      <x:c r="C17" s="53" t="n">
        <x:f>SUM('Tbond_010504'!E27/(1+$B17/'Tbond_010504'!$C$9)^'Tbond_010504'!F27,'Tbond_010504'!E28/(1+$B17/'Tbond_010504'!$C$9)^'Tbond_010504'!F28,'Tbond_010504'!E29/(1+$B17/'Tbond_010504'!$C$9)^'Tbond_010504'!F29,'Tbond_010504'!E30/(1+$B17/'Tbond_010504'!$C$9)^'Tbond_010504'!F30,'Tbond_010504'!E31/(1+$B17/'Tbond_010504'!$C$9)^'Tbond_010504'!F31)-'Tbond_010504'!$C$20</x:f>
        <x:v>108.36350086440575</x:v>
      </x:c>
      <x:c r="D17" s="53" t="n">
        <x:f>SUM('CDB_018020'!E27/(1+$B17/'CDB_018020'!$C$9)^'CDB_018020'!F27,'CDB_018020'!E28/(1+$B17/'CDB_018020'!$C$9)^'CDB_018020'!F28,'CDB_018020'!E29/(1+$B17/'CDB_018020'!$C$9)^'CDB_018020'!F29)-'CDB_018020'!$C$20</x:f>
        <x:v>106.87936115426113</x:v>
      </x:c>
      <x:c r="E17" s="53" t="n">
        <x:f>SUM('Nanjing_184575'!E27/(1+$B17/'Nanjing_184575'!$C$9)^'Nanjing_184575'!F27,'Nanjing_184575'!E28/(1+$B17/'Nanjing_184575'!$C$9)^'Nanjing_184575'!F28,'Nanjing_184575'!E29/(1+$B17/'Nanjing_184575'!$C$9)^'Nanjing_184575'!F29,'Nanjing_184575'!E30/(1+$B17/'Nanjing_184575'!$C$9)^'Nanjing_184575'!F30,'Nanjing_184575'!E31/(1+$B17/'Nanjing_184575'!$C$9)^'Nanjing_184575'!F31)-'Nanjing_184575'!$C$20</x:f>
        <x:v>111.05485535117573</x:v>
      </x:c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S17" s="46" t="str">
        <x:f>TEXT(B17,"0.00%")</x:f>
        <x:v>0.25%</x:v>
      </x:c>
    </x:row>
    <x:row r="18" ht="24" customHeight="1">
      <x:c r="A18" s="1"/>
      <x:c r="B18" s="52" t="n">
        <x:v>0.005</x:v>
      </x:c>
      <x:c r="C18" s="53" t="n">
        <x:f>SUM('Tbond_010504'!E27/(1+$B18/'Tbond_010504'!$C$9)^'Tbond_010504'!F27,'Tbond_010504'!E28/(1+$B18/'Tbond_010504'!$C$9)^'Tbond_010504'!F28,'Tbond_010504'!E29/(1+$B18/'Tbond_010504'!$C$9)^'Tbond_010504'!F29,'Tbond_010504'!E30/(1+$B18/'Tbond_010504'!$C$9)^'Tbond_010504'!F30,'Tbond_010504'!E31/(1+$B18/'Tbond_010504'!$C$9)^'Tbond_010504'!F31)-'Tbond_010504'!$C$20</x:f>
        <x:v>107.79548744529843</x:v>
      </x:c>
      <x:c r="D18" s="53" t="n">
        <x:f>SUM('CDB_018020'!E27/(1+$B18/'CDB_018020'!$C$9)^'CDB_018020'!F27,'CDB_018020'!E28/(1+$B18/'CDB_018020'!$C$9)^'CDB_018020'!F28,'CDB_018020'!E29/(1+$B18/'CDB_018020'!$C$9)^'CDB_018020'!F29)-'CDB_018020'!$C$20</x:f>
        <x:v>106.11089026033704</x:v>
      </x:c>
      <x:c r="E18" s="53" t="n">
        <x:f>SUM('Nanjing_184575'!E27/(1+$B18/'Nanjing_184575'!$C$9)^'Nanjing_184575'!F27,'Nanjing_184575'!E28/(1+$B18/'Nanjing_184575'!$C$9)^'Nanjing_184575'!F28,'Nanjing_184575'!E29/(1+$B18/'Nanjing_184575'!$C$9)^'Nanjing_184575'!F29,'Nanjing_184575'!E30/(1+$B18/'Nanjing_184575'!$C$9)^'Nanjing_184575'!F30,'Nanjing_184575'!E31/(1+$B18/'Nanjing_184575'!$C$9)^'Nanjing_184575'!F31)-'Nanjing_184575'!$C$20</x:f>
        <x:v>109.8672470447717</x:v>
      </x:c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S18" s="46" t="str">
        <x:f>TEXT(B18,"0.00%")</x:f>
        <x:v>0.50%</x:v>
      </x:c>
    </x:row>
    <x:row r="19" ht="24" customHeight="1">
      <x:c r="A19" s="1"/>
      <x:c r="B19" s="52" t="n">
        <x:v>0.0075</x:v>
      </x:c>
      <x:c r="C19" s="53" t="n">
        <x:f>SUM('Tbond_010504'!E27/(1+$B19/'Tbond_010504'!$C$9)^'Tbond_010504'!F27,'Tbond_010504'!E28/(1+$B19/'Tbond_010504'!$C$9)^'Tbond_010504'!F28,'Tbond_010504'!E29/(1+$B19/'Tbond_010504'!$C$9)^'Tbond_010504'!F29,'Tbond_010504'!E30/(1+$B19/'Tbond_010504'!$C$9)^'Tbond_010504'!F30,'Tbond_010504'!E31/(1+$B19/'Tbond_010504'!$C$9)^'Tbond_010504'!F31)-'Tbond_010504'!$C$20</x:f>
        <x:v>107.23120647265506</x:v>
      </x:c>
      <x:c r="D19" s="53" t="n">
        <x:f>SUM('CDB_018020'!E27/(1+$B19/'CDB_018020'!$C$9)^'CDB_018020'!F27,'CDB_018020'!E28/(1+$B19/'CDB_018020'!$C$9)^'CDB_018020'!F28,'CDB_018020'!E29/(1+$B19/'CDB_018020'!$C$9)^'CDB_018020'!F29)-'CDB_018020'!$C$20</x:f>
        <x:v>105.34990436132365</x:v>
      </x:c>
      <x:c r="E19" s="53" t="n">
        <x:f>SUM('Nanjing_184575'!E27/(1+$B19/'Nanjing_184575'!$C$9)^'Nanjing_184575'!F27,'Nanjing_184575'!E28/(1+$B19/'Nanjing_184575'!$C$9)^'Nanjing_184575'!F28,'Nanjing_184575'!E29/(1+$B19/'Nanjing_184575'!$C$9)^'Nanjing_184575'!F29,'Nanjing_184575'!E30/(1+$B19/'Nanjing_184575'!$C$9)^'Nanjing_184575'!F30,'Nanjing_184575'!E31/(1+$B19/'Nanjing_184575'!$C$9)^'Nanjing_184575'!F31)-'Nanjing_184575'!$C$20</x:f>
        <x:v>108.69554730089521</x:v>
      </x:c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S19" s="46" t="str">
        <x:f>TEXT(B19,"0.00%")</x:f>
        <x:v>0.75%</x:v>
      </x:c>
    </x:row>
    <x:row r="20" ht="24" customHeight="1">
      <x:c r="A20" s="1"/>
      <x:c r="B20" s="52" t="n">
        <x:v>0.01</x:v>
      </x:c>
      <x:c r="C20" s="53" t="n">
        <x:f>SUM('Tbond_010504'!E27/(1+$B20/'Tbond_010504'!$C$9)^'Tbond_010504'!F27,'Tbond_010504'!E28/(1+$B20/'Tbond_010504'!$C$9)^'Tbond_010504'!F28,'Tbond_010504'!E29/(1+$B20/'Tbond_010504'!$C$9)^'Tbond_010504'!F29,'Tbond_010504'!E30/(1+$B20/'Tbond_010504'!$C$9)^'Tbond_010504'!F30,'Tbond_010504'!E31/(1+$B20/'Tbond_010504'!$C$9)^'Tbond_010504'!F31)-'Tbond_010504'!$C$20</x:f>
        <x:v>106.67062870163286</x:v>
      </x:c>
      <x:c r="D20" s="53" t="n">
        <x:f>SUM('CDB_018020'!E27/(1+$B20/'CDB_018020'!$C$9)^'CDB_018020'!F27,'CDB_018020'!E28/(1+$B20/'CDB_018020'!$C$9)^'CDB_018020'!F28,'CDB_018020'!E29/(1+$B20/'CDB_018020'!$C$9)^'CDB_018020'!F29)-'CDB_018020'!$C$20</x:f>
        <x:v>104.59631202814529</x:v>
      </x:c>
      <x:c r="E20" s="53" t="n">
        <x:f>SUM('Nanjing_184575'!E27/(1+$B20/'Nanjing_184575'!$C$9)^'Nanjing_184575'!F27,'Nanjing_184575'!E28/(1+$B20/'Nanjing_184575'!$C$9)^'Nanjing_184575'!F28,'Nanjing_184575'!E29/(1+$B20/'Nanjing_184575'!$C$9)^'Nanjing_184575'!F29,'Nanjing_184575'!E30/(1+$B20/'Nanjing_184575'!$C$9)^'Nanjing_184575'!F30,'Nanjing_184575'!E31/(1+$B20/'Nanjing_184575'!$C$9)^'Nanjing_184575'!F31)-'Nanjing_184575'!$C$20</x:f>
        <x:v>107.53950295255935</x:v>
      </x:c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S20" s="46" t="str">
        <x:f>TEXT(B20,"0.00%")</x:f>
        <x:v>1.00%</x:v>
      </x:c>
    </x:row>
    <x:row r="21" ht="24" customHeight="1">
      <x:c r="A21" s="1"/>
      <x:c r="B21" s="52" t="n">
        <x:v>0.0125</x:v>
      </x:c>
      <x:c r="C21" s="53" t="n">
        <x:f>SUM('Tbond_010504'!E27/(1+$B21/'Tbond_010504'!$C$9)^'Tbond_010504'!F27,'Tbond_010504'!E28/(1+$B21/'Tbond_010504'!$C$9)^'Tbond_010504'!F28,'Tbond_010504'!E29/(1+$B21/'Tbond_010504'!$C$9)^'Tbond_010504'!F29,'Tbond_010504'!E30/(1+$B21/'Tbond_010504'!$C$9)^'Tbond_010504'!F30,'Tbond_010504'!E31/(1+$B21/'Tbond_010504'!$C$9)^'Tbond_010504'!F31)-'Tbond_010504'!$C$20</x:f>
        <x:v>106.11372515289294</x:v>
      </x:c>
      <x:c r="D21" s="53" t="n">
        <x:f>SUM('CDB_018020'!E27/(1+$B21/'CDB_018020'!$C$9)^'CDB_018020'!F27,'CDB_018020'!E28/(1+$B21/'CDB_018020'!$C$9)^'CDB_018020'!F28,'CDB_018020'!E29/(1+$B21/'CDB_018020'!$C$9)^'CDB_018020'!F29)-'CDB_018020'!$C$20</x:f>
        <x:v>103.85002317225188</x:v>
      </x:c>
      <x:c r="E21" s="53" t="n">
        <x:f>SUM('Nanjing_184575'!E27/(1+$B21/'Nanjing_184575'!$C$9)^'Nanjing_184575'!F27,'Nanjing_184575'!E28/(1+$B21/'Nanjing_184575'!$C$9)^'Nanjing_184575'!F28,'Nanjing_184575'!E29/(1+$B21/'Nanjing_184575'!$C$9)^'Nanjing_184575'!F29,'Nanjing_184575'!E30/(1+$B21/'Nanjing_184575'!$C$9)^'Nanjing_184575'!F30,'Nanjing_184575'!E31/(1+$B21/'Nanjing_184575'!$C$9)^'Nanjing_184575'!F31)-'Nanjing_184575'!$C$20</x:f>
        <x:v>106.39886548363383</x:v>
      </x:c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S21" s="46" t="str">
        <x:f>TEXT(B21,"0.00%")</x:f>
        <x:v>1.25%</x:v>
      </x:c>
    </x:row>
    <x:row r="22" ht="24" customHeight="1">
      <x:c r="A22" s="1"/>
      <x:c r="B22" s="52" t="n">
        <x:v>0.015</x:v>
      </x:c>
      <x:c r="C22" s="53" t="n">
        <x:f>SUM('Tbond_010504'!E27/(1+$B22/'Tbond_010504'!$C$9)^'Tbond_010504'!F27,'Tbond_010504'!E28/(1+$B22/'Tbond_010504'!$C$9)^'Tbond_010504'!F28,'Tbond_010504'!E29/(1+$B22/'Tbond_010504'!$C$9)^'Tbond_010504'!F29,'Tbond_010504'!E30/(1+$B22/'Tbond_010504'!$C$9)^'Tbond_010504'!F30,'Tbond_010504'!E31/(1+$B22/'Tbond_010504'!$C$9)^'Tbond_010504'!F31)-'Tbond_010504'!$C$20</x:f>
        <x:v>105.5604671098625</x:v>
      </x:c>
      <x:c r="D22" s="53" t="n">
        <x:f>SUM('CDB_018020'!E27/(1+$B22/'CDB_018020'!$C$9)^'CDB_018020'!F27,'CDB_018020'!E28/(1+$B22/'CDB_018020'!$C$9)^'CDB_018020'!F28,'CDB_018020'!E29/(1+$B22/'CDB_018020'!$C$9)^'CDB_018020'!F29)-'CDB_018020'!$C$20</x:f>
        <x:v>103.11094902270858</x:v>
      </x:c>
      <x:c r="E22" s="53" t="n">
        <x:f>SUM('Nanjing_184575'!E27/(1+$B22/'Nanjing_184575'!$C$9)^'Nanjing_184575'!F27,'Nanjing_184575'!E28/(1+$B22/'Nanjing_184575'!$C$9)^'Nanjing_184575'!F28,'Nanjing_184575'!E29/(1+$B22/'Nanjing_184575'!$C$9)^'Nanjing_184575'!F29,'Nanjing_184575'!E30/(1+$B22/'Nanjing_184575'!$C$9)^'Nanjing_184575'!F30,'Nanjing_184575'!E31/(1+$B22/'Nanjing_184575'!$C$9)^'Nanjing_184575'!F31)-'Nanjing_184575'!$C$20</x:f>
        <x:v>105.27339093211414</x:v>
      </x:c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S22" s="46" t="str">
        <x:f>TEXT(B22,"0.00%")</x:f>
        <x:v>1.50%</x:v>
      </x:c>
    </x:row>
    <x:row r="23" ht="24" customHeight="1">
      <x:c r="A23" s="1"/>
      <x:c r="B23" s="52" t="n">
        <x:v>0.0175</x:v>
      </x:c>
      <x:c r="C23" s="53" t="n">
        <x:f>SUM('Tbond_010504'!E27/(1+$B23/'Tbond_010504'!$C$9)^'Tbond_010504'!F27,'Tbond_010504'!E28/(1+$B23/'Tbond_010504'!$C$9)^'Tbond_010504'!F28,'Tbond_010504'!E29/(1+$B23/'Tbond_010504'!$C$9)^'Tbond_010504'!F29,'Tbond_010504'!E30/(1+$B23/'Tbond_010504'!$C$9)^'Tbond_010504'!F30,'Tbond_010504'!E31/(1+$B23/'Tbond_010504'!$C$9)^'Tbond_010504'!F31)-'Tbond_010504'!$C$20</x:f>
        <x:v>105.01082611602783</x:v>
      </x:c>
      <x:c r="D23" s="53" t="n">
        <x:f>SUM('CDB_018020'!E27/(1+$B23/'CDB_018020'!$C$9)^'CDB_018020'!F27,'CDB_018020'!E28/(1+$B23/'CDB_018020'!$C$9)^'CDB_018020'!F28,'CDB_018020'!E29/(1+$B23/'CDB_018020'!$C$9)^'CDB_018020'!F29)-'CDB_018020'!$C$20</x:f>
        <x:v>102.37900210373162</x:v>
      </x:c>
      <x:c r="E23" s="53" t="n">
        <x:f>SUM('Nanjing_184575'!E27/(1+$B23/'Nanjing_184575'!$C$9)^'Nanjing_184575'!F27,'Nanjing_184575'!E28/(1+$B23/'Nanjing_184575'!$C$9)^'Nanjing_184575'!F28,'Nanjing_184575'!E29/(1+$B23/'Nanjing_184575'!$C$9)^'Nanjing_184575'!F29,'Nanjing_184575'!E30/(1+$B23/'Nanjing_184575'!$C$9)^'Nanjing_184575'!F30,'Nanjing_184575'!E31/(1+$B23/'Nanjing_184575'!$C$9)^'Nanjing_184575'!F31)-'Nanjing_184575'!$C$20</x:f>
        <x:v>104.16283979563539</x:v>
      </x:c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S23" s="46" t="str">
        <x:f>TEXT(B23,"0.00%")</x:f>
        <x:v>1.75%</x:v>
      </x:c>
    </x:row>
    <x:row r="24" ht="24" customHeight="1">
      <x:c r="A24" s="1"/>
      <x:c r="B24" s="52" t="n">
        <x:v>0.02</x:v>
      </x:c>
      <x:c r="C24" s="53" t="n">
        <x:f>SUM('Tbond_010504'!E27/(1+$B24/'Tbond_010504'!$C$9)^'Tbond_010504'!F27,'Tbond_010504'!E28/(1+$B24/'Tbond_010504'!$C$9)^'Tbond_010504'!F28,'Tbond_010504'!E29/(1+$B24/'Tbond_010504'!$C$9)^'Tbond_010504'!F29,'Tbond_010504'!E30/(1+$B24/'Tbond_010504'!$C$9)^'Tbond_010504'!F30,'Tbond_010504'!E31/(1+$B24/'Tbond_010504'!$C$9)^'Tbond_010504'!F31)-'Tbond_010504'!$C$20</x:f>
        <x:v>104.46477397225928</x:v>
      </x:c>
      <x:c r="D24" s="53" t="n">
        <x:f>SUM('CDB_018020'!E27/(1+$B24/'CDB_018020'!$C$9)^'CDB_018020'!F27,'CDB_018020'!E28/(1+$B24/'CDB_018020'!$C$9)^'CDB_018020'!F28,'CDB_018020'!E29/(1+$B24/'CDB_018020'!$C$9)^'CDB_018020'!F29)-'CDB_018020'!$C$20</x:f>
        <x:v>101.65409621266178</x:v>
      </x:c>
      <x:c r="E24" s="53" t="n">
        <x:f>SUM('Nanjing_184575'!E27/(1+$B24/'Nanjing_184575'!$C$9)^'Nanjing_184575'!F27,'Nanjing_184575'!E28/(1+$B24/'Nanjing_184575'!$C$9)^'Nanjing_184575'!F28,'Nanjing_184575'!E29/(1+$B24/'Nanjing_184575'!$C$9)^'Nanjing_184575'!F29,'Nanjing_184575'!E30/(1+$B24/'Nanjing_184575'!$C$9)^'Nanjing_184575'!F30,'Nanjing_184575'!E31/(1+$B24/'Nanjing_184575'!$C$9)^'Nanjing_184575'!F31)-'Nanjing_184575'!$C$20</x:f>
        <x:v>103.06697693917364</x:v>
      </x:c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S24" s="46" t="str">
        <x:f>TEXT(B24,"0.00%")</x:f>
        <x:v>2.00%</x:v>
      </x:c>
    </x:row>
    <x:row r="25" ht="24" customHeight="1">
      <x:c r="A25" s="1"/>
      <x:c r="B25" s="52" t="n">
        <x:v>0.0225</x:v>
      </x:c>
      <x:c r="C25" s="53" t="n">
        <x:f>SUM('Tbond_010504'!E27/(1+$B25/'Tbond_010504'!$C$9)^'Tbond_010504'!F27,'Tbond_010504'!E28/(1+$B25/'Tbond_010504'!$C$9)^'Tbond_010504'!F28,'Tbond_010504'!E29/(1+$B25/'Tbond_010504'!$C$9)^'Tbond_010504'!F29,'Tbond_010504'!E30/(1+$B25/'Tbond_010504'!$C$9)^'Tbond_010504'!F30,'Tbond_010504'!E31/(1+$B25/'Tbond_010504'!$C$9)^'Tbond_010504'!F31)-'Tbond_010504'!$C$20</x:f>
        <x:v>103.92228273416683</x:v>
      </x:c>
      <x:c r="D25" s="53" t="n">
        <x:f>SUM('CDB_018020'!E27/(1+$B25/'CDB_018020'!$C$9)^'CDB_018020'!F27,'CDB_018020'!E28/(1+$B25/'CDB_018020'!$C$9)^'CDB_018020'!F28,'CDB_018020'!E29/(1+$B25/'CDB_018020'!$C$9)^'CDB_018020'!F29)-'CDB_018020'!$C$20</x:f>
        <x:v>100.93614639836463</x:v>
      </x:c>
      <x:c r="E25" s="53" t="n">
        <x:f>SUM('Nanjing_184575'!E27/(1+$B25/'Nanjing_184575'!$C$9)^'Nanjing_184575'!F27,'Nanjing_184575'!E28/(1+$B25/'Nanjing_184575'!$C$9)^'Nanjing_184575'!F28,'Nanjing_184575'!E29/(1+$B25/'Nanjing_184575'!$C$9)^'Nanjing_184575'!F29,'Nanjing_184575'!E30/(1+$B25/'Nanjing_184575'!$C$9)^'Nanjing_184575'!F30,'Nanjing_184575'!E31/(1+$B25/'Nanjing_184575'!$C$9)^'Nanjing_184575'!F31)-'Nanjing_184575'!$C$20</x:f>
        <x:v>101.98557150487804</x:v>
      </x:c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S25" s="46" t="str">
        <x:f>TEXT(B25,"0.00%")</x:f>
        <x:v>2.25%</x:v>
      </x:c>
    </x:row>
    <x:row r="26" ht="24" customHeight="1">
      <x:c r="A26" s="1"/>
      <x:c r="B26" s="52" t="n">
        <x:v>0.025</x:v>
      </x:c>
      <x:c r="C26" s="53" t="n">
        <x:f>SUM('Tbond_010504'!E27/(1+$B26/'Tbond_010504'!$C$9)^'Tbond_010504'!F27,'Tbond_010504'!E28/(1+$B26/'Tbond_010504'!$C$9)^'Tbond_010504'!F28,'Tbond_010504'!E29/(1+$B26/'Tbond_010504'!$C$9)^'Tbond_010504'!F29,'Tbond_010504'!E30/(1+$B26/'Tbond_010504'!$C$9)^'Tbond_010504'!F30,'Tbond_010504'!E31/(1+$B26/'Tbond_010504'!$C$9)^'Tbond_010504'!F31)-'Tbond_010504'!$C$20</x:f>
        <x:v>103.3833247094858</x:v>
      </x:c>
      <x:c r="D26" s="53" t="n">
        <x:f>SUM('CDB_018020'!E27/(1+$B26/'CDB_018020'!$C$9)^'CDB_018020'!F27,'CDB_018020'!E28/(1+$B26/'CDB_018020'!$C$9)^'CDB_018020'!F28,'CDB_018020'!E29/(1+$B26/'CDB_018020'!$C$9)^'CDB_018020'!F29)-'CDB_018020'!$C$20</x:f>
        <x:v>100.22506894004974</x:v>
      </x:c>
      <x:c r="E26" s="53" t="n">
        <x:f>SUM('Nanjing_184575'!E27/(1+$B26/'Nanjing_184575'!$C$9)^'Nanjing_184575'!F27,'Nanjing_184575'!E28/(1+$B26/'Nanjing_184575'!$C$9)^'Nanjing_184575'!F28,'Nanjing_184575'!E29/(1+$B26/'Nanjing_184575'!$C$9)^'Nanjing_184575'!F29,'Nanjing_184575'!E30/(1+$B26/'Nanjing_184575'!$C$9)^'Nanjing_184575'!F30,'Nanjing_184575'!E31/(1+$B26/'Nanjing_184575'!$C$9)^'Nanjing_184575'!F31)-'Nanjing_184575'!$C$20</x:f>
        <x:v>100.91839682398091</x:v>
      </x:c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S26" s="46" t="str">
        <x:f>TEXT(B26,"0.00%")</x:f>
        <x:v>2.50%</x:v>
      </x:c>
    </x:row>
    <x:row r="27" ht="24" customHeight="1">
      <x:c r="A27" s="1"/>
      <x:c r="B27" s="52" t="n">
        <x:v>0.0275</x:v>
      </x:c>
      <x:c r="C27" s="53" t="n">
        <x:f>SUM('Tbond_010504'!E27/(1+$B27/'Tbond_010504'!$C$9)^'Tbond_010504'!F27,'Tbond_010504'!E28/(1+$B27/'Tbond_010504'!$C$9)^'Tbond_010504'!F28,'Tbond_010504'!E29/(1+$B27/'Tbond_010504'!$C$9)^'Tbond_010504'!F29,'Tbond_010504'!E30/(1+$B27/'Tbond_010504'!$C$9)^'Tbond_010504'!F30,'Tbond_010504'!E31/(1+$B27/'Tbond_010504'!$C$9)^'Tbond_010504'!F31)-'Tbond_010504'!$C$20</x:f>
        <x:v>102.84787245549286</x:v>
      </x:c>
      <x:c r="D27" s="53" t="n">
        <x:f>SUM('CDB_018020'!E27/(1+$B27/'CDB_018020'!$C$9)^'CDB_018020'!F27,'CDB_018020'!E28/(1+$B27/'CDB_018020'!$C$9)^'CDB_018020'!F28,'CDB_018020'!E29/(1+$B27/'CDB_018020'!$C$9)^'CDB_018020'!F29)-'CDB_018020'!$C$20</x:f>
        <x:v>99.52078132649855</x:v>
      </x:c>
      <x:c r="E27" s="53" t="n">
        <x:f>SUM('Nanjing_184575'!E27/(1+$B27/'Nanjing_184575'!$C$9)^'Nanjing_184575'!F27,'Nanjing_184575'!E28/(1+$B27/'Nanjing_184575'!$C$9)^'Nanjing_184575'!F28,'Nanjing_184575'!E29/(1+$B27/'Nanjing_184575'!$C$9)^'Nanjing_184575'!F29,'Nanjing_184575'!E30/(1+$B27/'Nanjing_184575'!$C$9)^'Nanjing_184575'!F30,'Nanjing_184575'!E31/(1+$B27/'Nanjing_184575'!$C$9)^'Nanjing_184575'!F31)-'Nanjing_184575'!$C$20</x:f>
        <x:v>99.86523033073202</x:v>
      </x:c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S27" s="46" t="str">
        <x:f>TEXT(B27,"0.00%")</x:f>
        <x:v>2.75%</x:v>
      </x:c>
    </x:row>
    <x:row r="28" ht="24" customHeight="1">
      <x:c r="A28" s="1"/>
      <x:c r="B28" s="52" t="n">
        <x:v>0.03</x:v>
      </x:c>
      <x:c r="C28" s="53" t="n">
        <x:f>SUM('Tbond_010504'!E27/(1+$B28/'Tbond_010504'!$C$9)^'Tbond_010504'!F27,'Tbond_010504'!E28/(1+$B28/'Tbond_010504'!$C$9)^'Tbond_010504'!F28,'Tbond_010504'!E29/(1+$B28/'Tbond_010504'!$C$9)^'Tbond_010504'!F29,'Tbond_010504'!E30/(1+$B28/'Tbond_010504'!$C$9)^'Tbond_010504'!F30,'Tbond_010504'!E31/(1+$B28/'Tbond_010504'!$C$9)^'Tbond_010504'!F31)-'Tbond_010504'!$C$20</x:f>
        <x:v>102.31589877645158</x:v>
      </x:c>
      <x:c r="D28" s="53" t="n">
        <x:f>SUM('CDB_018020'!E27/(1+$B28/'CDB_018020'!$C$9)^'CDB_018020'!F27,'CDB_018020'!E28/(1+$B28/'CDB_018020'!$C$9)^'CDB_018020'!F28,'CDB_018020'!E29/(1+$B28/'CDB_018020'!$C$9)^'CDB_018020'!F29)-'CDB_018020'!$C$20</x:f>
        <x:v>98.82320223569293</x:v>
      </x:c>
      <x:c r="E28" s="53" t="n">
        <x:f>SUM('Nanjing_184575'!E27/(1+$B28/'Nanjing_184575'!$C$9)^'Nanjing_184575'!F27,'Nanjing_184575'!E28/(1+$B28/'Nanjing_184575'!$C$9)^'Nanjing_184575'!F28,'Nanjing_184575'!E29/(1+$B28/'Nanjing_184575'!$C$9)^'Nanjing_184575'!F29,'Nanjing_184575'!E30/(1+$B28/'Nanjing_184575'!$C$9)^'Nanjing_184575'!F30,'Nanjing_184575'!E31/(1+$B28/'Nanjing_184575'!$C$9)^'Nanjing_184575'!F31)-'Nanjing_184575'!$C$20</x:f>
        <x:v>98.82585347830602</x:v>
      </x:c>
      <x:c r="F28" s="1"/>
      <x:c r="G28" s="27" t="str">
        <x:v>The base prices and yields are listed on the left. A higher required yield lowers the price of fixed promised cash flows.</x:v>
      </x:c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S28" s="46" t="str">
        <x:f>TEXT(B28,"0.00%")</x:f>
        <x:v>3.00%</x:v>
      </x:c>
    </x:row>
    <x:row r="29" ht="24" customHeight="1">
      <x:c r="A29" s="1"/>
      <x:c r="B29" s="52" t="n">
        <x:v>0.0325</x:v>
      </x:c>
      <x:c r="C29" s="53" t="n">
        <x:f>SUM('Tbond_010504'!E27/(1+$B29/'Tbond_010504'!$C$9)^'Tbond_010504'!F27,'Tbond_010504'!E28/(1+$B29/'Tbond_010504'!$C$9)^'Tbond_010504'!F28,'Tbond_010504'!E29/(1+$B29/'Tbond_010504'!$C$9)^'Tbond_010504'!F29,'Tbond_010504'!E30/(1+$B29/'Tbond_010504'!$C$9)^'Tbond_010504'!F30,'Tbond_010504'!E31/(1+$B29/'Tbond_010504'!$C$9)^'Tbond_010504'!F31)-'Tbond_010504'!$C$20</x:f>
        <x:v>101.78737672108721</x:v>
      </x:c>
      <x:c r="D29" s="53" t="n">
        <x:f>SUM('CDB_018020'!E27/(1+$B29/'CDB_018020'!$C$9)^'CDB_018020'!F27,'CDB_018020'!E28/(1+$B29/'CDB_018020'!$C$9)^'CDB_018020'!F28,'CDB_018020'!E29/(1+$B29/'CDB_018020'!$C$9)^'CDB_018020'!F29)-'CDB_018020'!$C$20</x:f>
        <x:v>98.13225151483475</x:v>
      </x:c>
      <x:c r="E29" s="53" t="n">
        <x:f>SUM('Nanjing_184575'!E27/(1+$B29/'Nanjing_184575'!$C$9)^'Nanjing_184575'!F27,'Nanjing_184575'!E28/(1+$B29/'Nanjing_184575'!$C$9)^'Nanjing_184575'!F28,'Nanjing_184575'!E29/(1+$B29/'Nanjing_184575'!$C$9)^'Nanjing_184575'!F29,'Nanjing_184575'!E30/(1+$B29/'Nanjing_184575'!$C$9)^'Nanjing_184575'!F30,'Nanjing_184575'!E31/(1+$B29/'Nanjing_184575'!$C$9)^'Nanjing_184575'!F31)-'Nanjing_184575'!$C$20</x:f>
        <x:v>97.80005165663248</x:v>
      </x:c>
      <x:c r="F29" s="1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S29" s="46" t="str">
        <x:f>TEXT(B29,"0.00%")</x:f>
        <x:v>3.25%</x:v>
      </x:c>
    </x:row>
    <x:row r="30" ht="24" customHeight="1">
      <x:c r="A30" s="1"/>
      <x:c r="B30" s="52" t="n">
        <x:v>0.035</x:v>
      </x:c>
      <x:c r="C30" s="53" t="n">
        <x:f>SUM('Tbond_010504'!E27/(1+$B30/'Tbond_010504'!$C$9)^'Tbond_010504'!F27,'Tbond_010504'!E28/(1+$B30/'Tbond_010504'!$C$9)^'Tbond_010504'!F28,'Tbond_010504'!E29/(1+$B30/'Tbond_010504'!$C$9)^'Tbond_010504'!F29,'Tbond_010504'!E30/(1+$B30/'Tbond_010504'!$C$9)^'Tbond_010504'!F30,'Tbond_010504'!E31/(1+$B30/'Tbond_010504'!$C$9)^'Tbond_010504'!F31)-'Tbond_010504'!$C$20</x:f>
        <x:v>101.2622795800906</x:v>
      </x:c>
      <x:c r="D30" s="53" t="n">
        <x:f>SUM('CDB_018020'!E27/(1+$B30/'CDB_018020'!$C$9)^'CDB_018020'!F27,'CDB_018020'!E28/(1+$B30/'CDB_018020'!$C$9)^'CDB_018020'!F28,'CDB_018020'!E29/(1+$B30/'CDB_018020'!$C$9)^'CDB_018020'!F29)-'CDB_018020'!$C$20</x:f>
        <x:v>97.44785016074897</x:v>
      </x:c>
      <x:c r="E30" s="53" t="n">
        <x:f>SUM('Nanjing_184575'!E27/(1+$B30/'Nanjing_184575'!$C$9)^'Nanjing_184575'!F27,'Nanjing_184575'!E28/(1+$B30/'Nanjing_184575'!$C$9)^'Nanjing_184575'!F28,'Nanjing_184575'!E29/(1+$B30/'Nanjing_184575'!$C$9)^'Nanjing_184575'!F29,'Nanjing_184575'!E30/(1+$B30/'Nanjing_184575'!$C$9)^'Nanjing_184575'!F30,'Nanjing_184575'!E31/(1+$B30/'Nanjing_184575'!$C$9)^'Nanjing_184575'!F31)-'Nanjing_184575'!$C$20</x:f>
        <x:v>96.7876141121015</x:v>
      </x:c>
      <x:c r="F30" s="1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S30" s="46" t="str">
        <x:f>TEXT(B30,"0.00%")</x:f>
        <x:v>3.50%</x:v>
      </x:c>
    </x:row>
    <x:row r="31" ht="24" customHeight="1">
      <x:c r="A31" s="1"/>
      <x:c r="B31" s="52" t="n">
        <x:v>0.0375</x:v>
      </x:c>
      <x:c r="C31" s="53" t="n">
        <x:f>SUM('Tbond_010504'!E27/(1+$B31/'Tbond_010504'!$C$9)^'Tbond_010504'!F27,'Tbond_010504'!E28/(1+$B31/'Tbond_010504'!$C$9)^'Tbond_010504'!F28,'Tbond_010504'!E29/(1+$B31/'Tbond_010504'!$C$9)^'Tbond_010504'!F29,'Tbond_010504'!E30/(1+$B31/'Tbond_010504'!$C$9)^'Tbond_010504'!F30,'Tbond_010504'!E31/(1+$B31/'Tbond_010504'!$C$9)^'Tbond_010504'!F31)-'Tbond_010504'!$C$20</x:f>
        <x:v>100.74058088365014</x:v>
      </x:c>
      <x:c r="D31" s="53" t="n">
        <x:f>SUM('CDB_018020'!E27/(1+$B31/'CDB_018020'!$C$9)^'CDB_018020'!F27,'CDB_018020'!E28/(1+$B31/'CDB_018020'!$C$9)^'CDB_018020'!F28,'CDB_018020'!E29/(1+$B31/'CDB_018020'!$C$9)^'CDB_018020'!F29)-'CDB_018020'!$C$20</x:f>
        <x:v>96.76992030066152</x:v>
      </x:c>
      <x:c r="E31" s="53" t="n">
        <x:f>SUM('Nanjing_184575'!E27/(1+$B31/'Nanjing_184575'!$C$9)^'Nanjing_184575'!F27,'Nanjing_184575'!E28/(1+$B31/'Nanjing_184575'!$C$9)^'Nanjing_184575'!F28,'Nanjing_184575'!E29/(1+$B31/'Nanjing_184575'!$C$9)^'Nanjing_184575'!F29,'Nanjing_184575'!E30/(1+$B31/'Nanjing_184575'!$C$9)^'Nanjing_184575'!F30,'Nanjing_184575'!E31/(1+$B31/'Nanjing_184575'!$C$9)^'Nanjing_184575'!F31)-'Nanjing_184575'!$C$20</x:f>
        <x:v>95.78833386909608</x:v>
      </x:c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S31" s="46" t="str">
        <x:f>TEXT(B31,"0.00%")</x:f>
        <x:v>3.75%</x:v>
      </x:c>
    </x:row>
    <x:row r="32" ht="24" customHeight="1">
      <x:c r="A32" s="1"/>
      <x:c r="B32" s="52" t="n">
        <x:v>0.04</x:v>
      </x:c>
      <x:c r="C32" s="53" t="n">
        <x:f>SUM('Tbond_010504'!E27/(1+$B32/'Tbond_010504'!$C$9)^'Tbond_010504'!F27,'Tbond_010504'!E28/(1+$B32/'Tbond_010504'!$C$9)^'Tbond_010504'!F28,'Tbond_010504'!E29/(1+$B32/'Tbond_010504'!$C$9)^'Tbond_010504'!F29,'Tbond_010504'!E30/(1+$B32/'Tbond_010504'!$C$9)^'Tbond_010504'!F30,'Tbond_010504'!E31/(1+$B32/'Tbond_010504'!$C$9)^'Tbond_010504'!F31)-'Tbond_010504'!$C$20</x:f>
        <x:v>100.22225439901229</x:v>
      </x:c>
      <x:c r="D32" s="53" t="n">
        <x:f>SUM('CDB_018020'!E27/(1+$B32/'CDB_018020'!$C$9)^'CDB_018020'!F27,'CDB_018020'!E28/(1+$B32/'CDB_018020'!$C$9)^'CDB_018020'!F28,'CDB_018020'!E29/(1+$B32/'CDB_018020'!$C$9)^'CDB_018020'!F29)-'CDB_018020'!$C$20</x:f>
        <x:v>96.09838517334421</x:v>
      </x:c>
      <x:c r="E32" s="53" t="n">
        <x:f>SUM('Nanjing_184575'!E27/(1+$B32/'Nanjing_184575'!$C$9)^'Nanjing_184575'!F27,'Nanjing_184575'!E28/(1+$B32/'Nanjing_184575'!$C$9)^'Nanjing_184575'!F28,'Nanjing_184575'!E29/(1+$B32/'Nanjing_184575'!$C$9)^'Nanjing_184575'!F29,'Nanjing_184575'!E30/(1+$B32/'Nanjing_184575'!$C$9)^'Nanjing_184575'!F30,'Nanjing_184575'!E31/(1+$B32/'Nanjing_184575'!$C$9)^'Nanjing_184575'!F31)-'Nanjing_184575'!$C$20</x:f>
        <x:v>94.8020076533068</x:v>
      </x:c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S32" s="46" t="str">
        <x:f>TEXT(B32,"0.00%")</x:f>
        <x:v>4.00%</x:v>
      </x:c>
    </x:row>
    <x:row r="33" ht="24" customHeight="1">
      <x:c r="A33" s="1"/>
      <x:c r="B33" s="52" t="n">
        <x:v>0.0425</x:v>
      </x:c>
      <x:c r="C33" s="53" t="n">
        <x:f>SUM('Tbond_010504'!E27/(1+$B33/'Tbond_010504'!$C$9)^'Tbond_010504'!F27,'Tbond_010504'!E28/(1+$B33/'Tbond_010504'!$C$9)^'Tbond_010504'!F28,'Tbond_010504'!E29/(1+$B33/'Tbond_010504'!$C$9)^'Tbond_010504'!F29,'Tbond_010504'!E30/(1+$B33/'Tbond_010504'!$C$9)^'Tbond_010504'!F30,'Tbond_010504'!E31/(1+$B33/'Tbond_010504'!$C$9)^'Tbond_010504'!F31)-'Tbond_010504'!$C$20</x:f>
        <x:v>99.70727412806984</x:v>
      </x:c>
      <x:c r="D33" s="53" t="n">
        <x:f>SUM('CDB_018020'!E27/(1+$B33/'CDB_018020'!$C$9)^'CDB_018020'!F27,'CDB_018020'!E28/(1+$B33/'CDB_018020'!$C$9)^'CDB_018020'!F28,'CDB_018020'!E29/(1+$B33/'CDB_018020'!$C$9)^'CDB_018020'!F29)-'CDB_018020'!$C$20</x:f>
        <x:v>95.4331691106181</x:v>
      </x:c>
      <x:c r="E33" s="53" t="n">
        <x:f>SUM('Nanjing_184575'!E27/(1+$B33/'Nanjing_184575'!$C$9)^'Nanjing_184575'!F27,'Nanjing_184575'!E28/(1+$B33/'Nanjing_184575'!$C$9)^'Nanjing_184575'!F28,'Nanjing_184575'!E29/(1+$B33/'Nanjing_184575'!$C$9)^'Nanjing_184575'!F29,'Nanjing_184575'!E30/(1+$B33/'Nanjing_184575'!$C$9)^'Nanjing_184575'!F30,'Nanjing_184575'!E31/(1+$B33/'Nanjing_184575'!$C$9)^'Nanjing_184575'!F31)-'Nanjing_184575'!$C$20</x:f>
        <x:v>93.82843581678254</x:v>
      </x:c>
      <x:c r="F33" s="1"/>
      <x:c r="G33" s="27" t="str">
        <x:v>These curves describe interest-rate sensitivity, holding repayment unchanged. They do not model credit losses, liquidity changes, or the value of the 184575 put and coupon-reset options.</x:v>
      </x:c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S33" s="46" t="str">
        <x:f>TEXT(B33,"0.00%")</x:f>
        <x:v>4.25%</x:v>
      </x:c>
    </x:row>
    <x:row r="34" ht="24" customHeight="1">
      <x:c r="A34" s="1"/>
      <x:c r="B34" s="52" t="n">
        <x:v>0.045</x:v>
      </x:c>
      <x:c r="C34" s="53" t="n">
        <x:f>SUM('Tbond_010504'!E27/(1+$B34/'Tbond_010504'!$C$9)^'Tbond_010504'!F27,'Tbond_010504'!E28/(1+$B34/'Tbond_010504'!$C$9)^'Tbond_010504'!F28,'Tbond_010504'!E29/(1+$B34/'Tbond_010504'!$C$9)^'Tbond_010504'!F29,'Tbond_010504'!E30/(1+$B34/'Tbond_010504'!$C$9)^'Tbond_010504'!F30,'Tbond_010504'!E31/(1+$B34/'Tbond_010504'!$C$9)^'Tbond_010504'!F31)-'Tbond_010504'!$C$20</x:f>
        <x:v>99.19561430497761</x:v>
      </x:c>
      <x:c r="D34" s="53" t="n">
        <x:f>SUM('CDB_018020'!E27/(1+$B34/'CDB_018020'!$C$9)^'CDB_018020'!F27,'CDB_018020'!E28/(1+$B34/'CDB_018020'!$C$9)^'CDB_018020'!F28,'CDB_018020'!E29/(1+$B34/'CDB_018020'!$C$9)^'CDB_018020'!F29)-'CDB_018020'!$C$20</x:f>
        <x:v>94.7741975192086</x:v>
      </x:c>
      <x:c r="E34" s="53" t="n">
        <x:f>SUM('Nanjing_184575'!E27/(1+$B34/'Nanjing_184575'!$C$9)^'Nanjing_184575'!F27,'Nanjing_184575'!E28/(1+$B34/'Nanjing_184575'!$C$9)^'Nanjing_184575'!F28,'Nanjing_184575'!E29/(1+$B34/'Nanjing_184575'!$C$9)^'Nanjing_184575'!F29,'Nanjing_184575'!E30/(1+$B34/'Nanjing_184575'!$C$9)^'Nanjing_184575'!F30,'Nanjing_184575'!E31/(1+$B34/'Nanjing_184575'!$C$9)^'Nanjing_184575'!F31)-'Nanjing_184575'!$C$20</x:f>
        <x:v>92.86742226467557</x:v>
      </x:c>
      <x:c r="F34" s="1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S34" s="46" t="str">
        <x:f>TEXT(B34,"0.00%")</x:f>
        <x:v>4.50%</x:v>
      </x:c>
    </x:row>
    <x:row r="35" ht="24" customHeight="1">
      <x:c r="A35" s="1"/>
      <x:c r="B35" s="52" t="n">
        <x:v>0.0475</x:v>
      </x:c>
      <x:c r="C35" s="53" t="n">
        <x:f>SUM('Tbond_010504'!E27/(1+$B35/'Tbond_010504'!$C$9)^'Tbond_010504'!F27,'Tbond_010504'!E28/(1+$B35/'Tbond_010504'!$C$9)^'Tbond_010504'!F28,'Tbond_010504'!E29/(1+$B35/'Tbond_010504'!$C$9)^'Tbond_010504'!F29,'Tbond_010504'!E30/(1+$B35/'Tbond_010504'!$C$9)^'Tbond_010504'!F30,'Tbond_010504'!E31/(1+$B35/'Tbond_010504'!$C$9)^'Tbond_010504'!F31)-'Tbond_010504'!$C$20</x:f>
        <x:v>98.68724939379523</x:v>
      </x:c>
      <x:c r="D35" s="53" t="n">
        <x:f>SUM('CDB_018020'!E27/(1+$B35/'CDB_018020'!$C$9)^'CDB_018020'!F27,'CDB_018020'!E28/(1+$B35/'CDB_018020'!$C$9)^'CDB_018020'!F28,'CDB_018020'!E29/(1+$B35/'CDB_018020'!$C$9)^'CDB_018020'!F29)-'CDB_018020'!$C$20</x:f>
        <x:v>94.12139686294417</x:v>
      </x:c>
      <x:c r="E35" s="53" t="n">
        <x:f>SUM('Nanjing_184575'!E27/(1+$B35/'Nanjing_184575'!$C$9)^'Nanjing_184575'!F27,'Nanjing_184575'!E28/(1+$B35/'Nanjing_184575'!$C$9)^'Nanjing_184575'!F28,'Nanjing_184575'!E29/(1+$B35/'Nanjing_184575'!$C$9)^'Nanjing_184575'!F29,'Nanjing_184575'!E30/(1+$B35/'Nanjing_184575'!$C$9)^'Nanjing_184575'!F30,'Nanjing_184575'!E31/(1+$B35/'Nanjing_184575'!$C$9)^'Nanjing_184575'!F31)-'Nanjing_184575'!$C$20</x:f>
        <x:v>91.9187743836376</x:v>
      </x:c>
      <x:c r="F35" s="1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S35" s="46" t="str">
        <x:f>TEXT(B35,"0.00%")</x:f>
        <x:v>4.75%</x:v>
      </x:c>
    </x:row>
    <x:row r="36" ht="24" customHeight="1">
      <x:c r="A36" s="1"/>
      <x:c r="B36" s="52" t="n">
        <x:v>0.05</x:v>
      </x:c>
      <x:c r="C36" s="53" t="n">
        <x:f>SUM('Tbond_010504'!E27/(1+$B36/'Tbond_010504'!$C$9)^'Tbond_010504'!F27,'Tbond_010504'!E28/(1+$B36/'Tbond_010504'!$C$9)^'Tbond_010504'!F28,'Tbond_010504'!E29/(1+$B36/'Tbond_010504'!$C$9)^'Tbond_010504'!F29,'Tbond_010504'!E30/(1+$B36/'Tbond_010504'!$C$9)^'Tbond_010504'!F30,'Tbond_010504'!E31/(1+$B36/'Tbond_010504'!$C$9)^'Tbond_010504'!F31)-'Tbond_010504'!$C$20</x:f>
        <x:v>98.18215408615659</x:v>
      </x:c>
      <x:c r="D36" s="53" t="n">
        <x:f>SUM('CDB_018020'!E27/(1+$B36/'CDB_018020'!$C$9)^'CDB_018020'!F27,'CDB_018020'!E28/(1+$B36/'CDB_018020'!$C$9)^'CDB_018020'!F28,'CDB_018020'!E29/(1+$B36/'CDB_018020'!$C$9)^'CDB_018020'!F29)-'CDB_018020'!$C$20</x:f>
        <x:v>93.47469464529182</x:v>
      </x:c>
      <x:c r="E36" s="53" t="n">
        <x:f>SUM('Nanjing_184575'!E27/(1+$B36/'Nanjing_184575'!$C$9)^'Nanjing_184575'!F27,'Nanjing_184575'!E28/(1+$B36/'Nanjing_184575'!$C$9)^'Nanjing_184575'!F28,'Nanjing_184575'!E29/(1+$B36/'Nanjing_184575'!$C$9)^'Nanjing_184575'!F29,'Nanjing_184575'!E30/(1+$B36/'Nanjing_184575'!$C$9)^'Nanjing_184575'!F30,'Nanjing_184575'!E31/(1+$B36/'Nanjing_184575'!$C$9)^'Nanjing_184575'!F31)-'Nanjing_184575'!$C$20</x:f>
        <x:v>90.98230297182657</x:v>
      </x:c>
      <x:c r="F36" s="1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S36" s="46" t="str">
        <x:f>TEXT(B36,"0.00%")</x:f>
        <x:v>5.00%</x:v>
      </x:c>
    </x:row>
    <x:row r="37" ht="24" customHeight="1">
      <x:c r="A37" s="1"/>
      <x:c r="B37" s="52" t="n">
        <x:v>0.0525</x:v>
      </x:c>
      <x:c r="C37" s="53" t="n">
        <x:f>SUM('Tbond_010504'!E27/(1+$B37/'Tbond_010504'!$C$9)^'Tbond_010504'!F27,'Tbond_010504'!E28/(1+$B37/'Tbond_010504'!$C$9)^'Tbond_010504'!F28,'Tbond_010504'!E29/(1+$B37/'Tbond_010504'!$C$9)^'Tbond_010504'!F29,'Tbond_010504'!E30/(1+$B37/'Tbond_010504'!$C$9)^'Tbond_010504'!F30,'Tbond_010504'!E31/(1+$B37/'Tbond_010504'!$C$9)^'Tbond_010504'!F31)-'Tbond_010504'!$C$20</x:f>
        <x:v>97.68030329896595</x:v>
      </x:c>
      <x:c r="D37" s="53" t="n">
        <x:f>SUM('CDB_018020'!E27/(1+$B37/'CDB_018020'!$C$9)^'CDB_018020'!F27,'CDB_018020'!E28/(1+$B37/'CDB_018020'!$C$9)^'CDB_018020'!F28,'CDB_018020'!E29/(1+$B37/'CDB_018020'!$C$9)^'CDB_018020'!F29)-'CDB_018020'!$C$20</x:f>
        <x:v>92.8340193922213</x:v>
      </x:c>
      <x:c r="E37" s="53" t="n">
        <x:f>SUM('Nanjing_184575'!E27/(1+$B37/'Nanjing_184575'!$C$9)^'Nanjing_184575'!F27,'Nanjing_184575'!E28/(1+$B37/'Nanjing_184575'!$C$9)^'Nanjing_184575'!F28,'Nanjing_184575'!E29/(1+$B37/'Nanjing_184575'!$C$9)^'Nanjing_184575'!F29,'Nanjing_184575'!E30/(1+$B37/'Nanjing_184575'!$C$9)^'Nanjing_184575'!F30,'Nanjing_184575'!E31/(1+$B37/'Nanjing_184575'!$C$9)^'Nanjing_184575'!F31)-'Nanjing_184575'!$C$20</x:f>
        <x:v>90.05782217048296</x:v>
      </x:c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S37" s="46" t="str">
        <x:f>TEXT(B37,"0.00%")</x:f>
        <x:v>5.25%</x:v>
      </x:c>
    </x:row>
    <x:row r="38" ht="24" customHeight="1">
      <x:c r="A38" s="1"/>
      <x:c r="B38" s="52" t="n">
        <x:v>0.055</x:v>
      </x:c>
      <x:c r="C38" s="53" t="n">
        <x:f>SUM('Tbond_010504'!E27/(1+$B38/'Tbond_010504'!$C$9)^'Tbond_010504'!F27,'Tbond_010504'!E28/(1+$B38/'Tbond_010504'!$C$9)^'Tbond_010504'!F28,'Tbond_010504'!E29/(1+$B38/'Tbond_010504'!$C$9)^'Tbond_010504'!F29,'Tbond_010504'!E30/(1+$B38/'Tbond_010504'!$C$9)^'Tbond_010504'!F30,'Tbond_010504'!E31/(1+$B38/'Tbond_010504'!$C$9)^'Tbond_010504'!F31)-'Tbond_010504'!$C$20</x:f>
        <x:v>97.18167217212024</x:v>
      </x:c>
      <x:c r="D38" s="53" t="n">
        <x:f>SUM('CDB_018020'!E27/(1+$B38/'CDB_018020'!$C$9)^'CDB_018020'!F27,'CDB_018020'!E28/(1+$B38/'CDB_018020'!$C$9)^'CDB_018020'!F28,'CDB_018020'!E29/(1+$B38/'CDB_018020'!$C$9)^'CDB_018020'!F29)-'CDB_018020'!$C$20</x:f>
        <x:v>92.19930063539216</x:v>
      </x:c>
      <x:c r="E38" s="53" t="n">
        <x:f>SUM('Nanjing_184575'!E27/(1+$B38/'Nanjing_184575'!$C$9)^'Nanjing_184575'!F27,'Nanjing_184575'!E28/(1+$B38/'Nanjing_184575'!$C$9)^'Nanjing_184575'!F28,'Nanjing_184575'!E29/(1+$B38/'Nanjing_184575'!$C$9)^'Nanjing_184575'!F29,'Nanjing_184575'!E30/(1+$B38/'Nanjing_184575'!$C$9)^'Nanjing_184575'!F30,'Nanjing_184575'!E31/(1+$B38/'Nanjing_184575'!$C$9)^'Nanjing_184575'!F31)-'Nanjing_184575'!$C$20</x:f>
        <x:v>89.14514939703835</x:v>
      </x:c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S38" s="46" t="str">
        <x:f>TEXT(B38,"0.00%")</x:f>
        <x:v>5.50%</x:v>
      </x:c>
    </x:row>
    <x:row r="39" ht="24" customHeight="1">
      <x:c r="A39" s="1"/>
      <x:c r="B39" s="52" t="n">
        <x:v>0.0575</x:v>
      </x:c>
      <x:c r="C39" s="53" t="n">
        <x:f>SUM('Tbond_010504'!E27/(1+$B39/'Tbond_010504'!$C$9)^'Tbond_010504'!F27,'Tbond_010504'!E28/(1+$B39/'Tbond_010504'!$C$9)^'Tbond_010504'!F28,'Tbond_010504'!E29/(1+$B39/'Tbond_010504'!$C$9)^'Tbond_010504'!F29,'Tbond_010504'!E30/(1+$B39/'Tbond_010504'!$C$9)^'Tbond_010504'!F30,'Tbond_010504'!E31/(1+$B39/'Tbond_010504'!$C$9)^'Tbond_010504'!F31)-'Tbond_010504'!$C$20</x:f>
        <x:v>96.68623606625657</x:v>
      </x:c>
      <x:c r="D39" s="53" t="n">
        <x:f>SUM('CDB_018020'!E27/(1+$B39/'CDB_018020'!$C$9)^'CDB_018020'!F27,'CDB_018020'!E28/(1+$B39/'CDB_018020'!$C$9)^'CDB_018020'!F28,'CDB_018020'!E29/(1+$B39/'CDB_018020'!$C$9)^'CDB_018020'!F29)-'CDB_018020'!$C$20</x:f>
        <x:v>91.5704688956564</x:v>
      </x:c>
      <x:c r="E39" s="53" t="n">
        <x:f>SUM('Nanjing_184575'!E27/(1+$B39/'Nanjing_184575'!$C$9)^'Nanjing_184575'!F27,'Nanjing_184575'!E28/(1+$B39/'Nanjing_184575'!$C$9)^'Nanjing_184575'!F28,'Nanjing_184575'!E29/(1+$B39/'Nanjing_184575'!$C$9)^'Nanjing_184575'!F29,'Nanjing_184575'!E30/(1+$B39/'Nanjing_184575'!$C$9)^'Nanjing_184575'!F30,'Nanjing_184575'!E31/(1+$B39/'Nanjing_184575'!$C$9)^'Nanjing_184575'!F31)-'Nanjing_184575'!$C$20</x:f>
        <x:v>88.24410527971722</x:v>
      </x:c>
      <x:c r="F39" s="1"/>
      <x:c r="G39" s="27" t="str">
        <x:v>Source: coupon amounts, timing and accrual linked to the three bond worksheets. Historical price sources and settlement assumptions are cited beside those inputs.</x:v>
      </x:c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S39" s="46" t="str">
        <x:f>TEXT(B39,"0.00%")</x:f>
        <x:v>5.75%</x:v>
      </x:c>
    </x:row>
    <x:row r="40" ht="24" customHeight="1">
      <x:c r="A40" s="1"/>
      <x:c r="B40" s="52" t="n">
        <x:v>0.06</x:v>
      </x:c>
      <x:c r="C40" s="53" t="n">
        <x:f>SUM('Tbond_010504'!E27/(1+$B40/'Tbond_010504'!$C$9)^'Tbond_010504'!F27,'Tbond_010504'!E28/(1+$B40/'Tbond_010504'!$C$9)^'Tbond_010504'!F28,'Tbond_010504'!E29/(1+$B40/'Tbond_010504'!$C$9)^'Tbond_010504'!F29,'Tbond_010504'!E30/(1+$B40/'Tbond_010504'!$C$9)^'Tbond_010504'!F30,'Tbond_010504'!E31/(1+$B40/'Tbond_010504'!$C$9)^'Tbond_010504'!F31)-'Tbond_010504'!$C$20</x:f>
        <x:v>96.1939705605258</x:v>
      </x:c>
      <x:c r="D40" s="53" t="n">
        <x:f>SUM('CDB_018020'!E27/(1+$B40/'CDB_018020'!$C$9)^'CDB_018020'!F27,'CDB_018020'!E28/(1+$B40/'CDB_018020'!$C$9)^'CDB_018020'!F28,'CDB_018020'!E29/(1+$B40/'CDB_018020'!$C$9)^'CDB_018020'!F29)-'CDB_018020'!$C$20</x:f>
        <x:v>90.94745566686971</x:v>
      </x:c>
      <x:c r="E40" s="53" t="n">
        <x:f>SUM('Nanjing_184575'!E27/(1+$B40/'Nanjing_184575'!$C$9)^'Nanjing_184575'!F27,'Nanjing_184575'!E28/(1+$B40/'Nanjing_184575'!$C$9)^'Nanjing_184575'!F28,'Nanjing_184575'!E29/(1+$B40/'Nanjing_184575'!$C$9)^'Nanjing_184575'!F29,'Nanjing_184575'!E30/(1+$B40/'Nanjing_184575'!$C$9)^'Nanjing_184575'!F30,'Nanjing_184575'!E31/(1+$B40/'Nanjing_184575'!$C$9)^'Nanjing_184575'!F31)-'Nanjing_184575'!$C$20</x:f>
        <x:v>87.354513593596</x:v>
      </x:c>
      <x:c r="F40" s="1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S40" s="46" t="str">
        <x:f>TEXT(B40,"0.00%")</x:f>
        <x:v>6.00%</x:v>
      </x:c>
    </x:row>
    <x:row r="41" ht="24" customHeight="1">
      <x:c r="A41" s="1"/>
      <x:c r="B41" s="52" t="n">
        <x:v>0.0625</x:v>
      </x:c>
      <x:c r="C41" s="53" t="n">
        <x:f>SUM('Tbond_010504'!E27/(1+$B41/'Tbond_010504'!$C$9)^'Tbond_010504'!F27,'Tbond_010504'!E28/(1+$B41/'Tbond_010504'!$C$9)^'Tbond_010504'!F28,'Tbond_010504'!E29/(1+$B41/'Tbond_010504'!$C$9)^'Tbond_010504'!F29,'Tbond_010504'!E30/(1+$B41/'Tbond_010504'!$C$9)^'Tbond_010504'!F30,'Tbond_010504'!E31/(1+$B41/'Tbond_010504'!$C$9)^'Tbond_010504'!F31)-'Tbond_010504'!$C$20</x:f>
        <x:v>95.70485145039102</x:v>
      </x:c>
      <x:c r="D41" s="53" t="n">
        <x:f>SUM('CDB_018020'!E27/(1+$B41/'CDB_018020'!$C$9)^'CDB_018020'!F27,'CDB_018020'!E28/(1+$B41/'CDB_018020'!$C$9)^'CDB_018020'!F28,'CDB_018020'!E29/(1+$B41/'CDB_018020'!$C$9)^'CDB_018020'!F29)-'CDB_018020'!$C$20</x:f>
        <x:v>90.33019340000517</x:v>
      </x:c>
      <x:c r="E41" s="53" t="n">
        <x:f>SUM('Nanjing_184575'!E27/(1+$B41/'Nanjing_184575'!$C$9)^'Nanjing_184575'!F27,'Nanjing_184575'!E28/(1+$B41/'Nanjing_184575'!$C$9)^'Nanjing_184575'!F28,'Nanjing_184575'!E29/(1+$B41/'Nanjing_184575'!$C$9)^'Nanjing_184575'!F29,'Nanjing_184575'!E30/(1+$B41/'Nanjing_184575'!$C$9)^'Nanjing_184575'!F30,'Nanjing_184575'!E31/(1+$B41/'Nanjing_184575'!$C$9)^'Nanjing_184575'!F31)-'Nanjing_184575'!$C$20</x:f>
        <x:v>86.47620119808246</x:v>
      </x:c>
      <x:c r="F41" s="1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S41" s="46" t="str">
        <x:f>TEXT(B41,"0.00%")</x:f>
        <x:v>6.25%</x:v>
      </x:c>
    </x:row>
    <x:row r="42" ht="24" customHeight="1">
      <x:c r="A42" s="1"/>
      <x:c r="B42" s="52" t="n">
        <x:v>0.065</x:v>
      </x:c>
      <x:c r="C42" s="53" t="n">
        <x:f>SUM('Tbond_010504'!E27/(1+$B42/'Tbond_010504'!$C$9)^'Tbond_010504'!F27,'Tbond_010504'!E28/(1+$B42/'Tbond_010504'!$C$9)^'Tbond_010504'!F28,'Tbond_010504'!E29/(1+$B42/'Tbond_010504'!$C$9)^'Tbond_010504'!F29,'Tbond_010504'!E30/(1+$B42/'Tbond_010504'!$C$9)^'Tbond_010504'!F30,'Tbond_010504'!E31/(1+$B42/'Tbond_010504'!$C$9)^'Tbond_010504'!F31)-'Tbond_010504'!$C$20</x:f>
        <x:v>95.21885474545078</x:v>
      </x:c>
      <x:c r="D42" s="53" t="n">
        <x:f>SUM('CDB_018020'!E27/(1+$B42/'CDB_018020'!$C$9)^'CDB_018020'!F27,'CDB_018020'!E28/(1+$B42/'CDB_018020'!$C$9)^'CDB_018020'!F28,'CDB_018020'!E29/(1+$B42/'CDB_018020'!$C$9)^'CDB_018020'!F29)-'CDB_018020'!$C$20</x:f>
        <x:v>89.71861548756318</x:v>
      </x:c>
      <x:c r="E42" s="53" t="n">
        <x:f>SUM('Nanjing_184575'!E27/(1+$B42/'Nanjing_184575'!$C$9)^'Nanjing_184575'!F27,'Nanjing_184575'!E28/(1+$B42/'Nanjing_184575'!$C$9)^'Nanjing_184575'!F28,'Nanjing_184575'!E29/(1+$B42/'Nanjing_184575'!$C$9)^'Nanjing_184575'!F29,'Nanjing_184575'!E30/(1+$B42/'Nanjing_184575'!$C$9)^'Nanjing_184575'!F30,'Nanjing_184575'!E31/(1+$B42/'Nanjing_184575'!$C$9)^'Nanjing_184575'!F31)-'Nanjing_184575'!$C$20</x:f>
        <x:v>85.60899797578215</x:v>
      </x:c>
      <x:c r="F42" s="1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S42" s="46" t="str">
        <x:f>TEXT(B42,"0.00%")</x:f>
        <x:v>6.50%</x:v>
      </x:c>
    </x:row>
    <x:row r="43" ht="24" customHeight="1">
      <x:c r="A43" s="1"/>
      <x:c r="B43" s="52" t="n">
        <x:v>0.0675</x:v>
      </x:c>
      <x:c r="C43" s="53" t="n">
        <x:f>SUM('Tbond_010504'!E27/(1+$B43/'Tbond_010504'!$C$9)^'Tbond_010504'!F27,'Tbond_010504'!E28/(1+$B43/'Tbond_010504'!$C$9)^'Tbond_010504'!F28,'Tbond_010504'!E29/(1+$B43/'Tbond_010504'!$C$9)^'Tbond_010504'!F29,'Tbond_010504'!E30/(1+$B43/'Tbond_010504'!$C$9)^'Tbond_010504'!F30,'Tbond_010504'!E31/(1+$B43/'Tbond_010504'!$C$9)^'Tbond_010504'!F31)-'Tbond_010504'!$C$20</x:f>
        <x:v>94.73595666728703</x:v>
      </x:c>
      <x:c r="D43" s="53" t="n">
        <x:f>SUM('CDB_018020'!E27/(1+$B43/'CDB_018020'!$C$9)^'CDB_018020'!F27,'CDB_018020'!E28/(1+$B43/'CDB_018020'!$C$9)^'CDB_018020'!F28,'CDB_018020'!E29/(1+$B43/'CDB_018020'!$C$9)^'CDB_018020'!F29)-'CDB_018020'!$C$20</x:f>
        <x:v>89.11265624827116</x:v>
      </x:c>
      <x:c r="E43" s="53" t="n">
        <x:f>SUM('Nanjing_184575'!E27/(1+$B43/'Nanjing_184575'!$C$9)^'Nanjing_184575'!F27,'Nanjing_184575'!E28/(1+$B43/'Nanjing_184575'!$C$9)^'Nanjing_184575'!F28,'Nanjing_184575'!E29/(1+$B43/'Nanjing_184575'!$C$9)^'Nanjing_184575'!F29,'Nanjing_184575'!E30/(1+$B43/'Nanjing_184575'!$C$9)^'Nanjing_184575'!F30,'Nanjing_184575'!E31/(1+$B43/'Nanjing_184575'!$C$9)^'Nanjing_184575'!F31)-'Nanjing_184575'!$C$20</x:f>
        <x:v>84.75273677271643</x:v>
      </x:c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S43" s="46" t="str">
        <x:f>TEXT(B43,"0.00%")</x:f>
        <x:v>6.75%</x:v>
      </x:c>
    </x:row>
    <x:row r="44" ht="24" customHeight="1">
      <x:c r="A44" s="1"/>
      <x:c r="B44" s="52" t="n">
        <x:v>0.07</x:v>
      </x:c>
      <x:c r="C44" s="53" t="n">
        <x:f>SUM('Tbond_010504'!E27/(1+$B44/'Tbond_010504'!$C$9)^'Tbond_010504'!F27,'Tbond_010504'!E28/(1+$B44/'Tbond_010504'!$C$9)^'Tbond_010504'!F28,'Tbond_010504'!E29/(1+$B44/'Tbond_010504'!$C$9)^'Tbond_010504'!F29,'Tbond_010504'!E30/(1+$B44/'Tbond_010504'!$C$9)^'Tbond_010504'!F30,'Tbond_010504'!E31/(1+$B44/'Tbond_010504'!$C$9)^'Tbond_010504'!F31)-'Tbond_010504'!$C$20</x:f>
        <x:v>94.25613364733705</x:v>
      </x:c>
      <x:c r="D44" s="53" t="n">
        <x:f>SUM('CDB_018020'!E27/(1+$B44/'CDB_018020'!$C$9)^'CDB_018020'!F27,'CDB_018020'!E28/(1+$B44/'CDB_018020'!$C$9)^'CDB_018020'!F28,'CDB_018020'!E29/(1+$B44/'CDB_018020'!$C$9)^'CDB_018020'!F29)-'CDB_018020'!$C$20</x:f>
        <x:v>88.51225091206692</x:v>
      </x:c>
      <x:c r="E44" s="53" t="n">
        <x:f>SUM('Nanjing_184575'!E27/(1+$B44/'Nanjing_184575'!$C$9)^'Nanjing_184575'!F27,'Nanjing_184575'!E28/(1+$B44/'Nanjing_184575'!$C$9)^'Nanjing_184575'!F28,'Nanjing_184575'!E29/(1+$B44/'Nanjing_184575'!$C$9)^'Nanjing_184575'!F29,'Nanjing_184575'!E30/(1+$B44/'Nanjing_184575'!$C$9)^'Nanjing_184575'!F30,'Nanjing_184575'!E31/(1+$B44/'Nanjing_184575'!$C$9)^'Nanjing_184575'!F31)-'Nanjing_184575'!$C$20</x:f>
        <x:v>83.90725333986036</x:v>
      </x:c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S44" s="46" t="str">
        <x:f>TEXT(B44,"0.00%")</x:f>
        <x:v>7.00%</x:v>
      </x:c>
    </x:row>
    <x:row r="45" ht="24" customHeight="1">
      <x:c r="A45" s="1"/>
      <x:c r="B45" s="52" t="n">
        <x:v>0.0725</x:v>
      </x:c>
      <x:c r="C45" s="53" t="n">
        <x:f>SUM('Tbond_010504'!E27/(1+$B45/'Tbond_010504'!$C$9)^'Tbond_010504'!F27,'Tbond_010504'!E28/(1+$B45/'Tbond_010504'!$C$9)^'Tbond_010504'!F28,'Tbond_010504'!E29/(1+$B45/'Tbond_010504'!$C$9)^'Tbond_010504'!F29,'Tbond_010504'!E30/(1+$B45/'Tbond_010504'!$C$9)^'Tbond_010504'!F30,'Tbond_010504'!E31/(1+$B45/'Tbond_010504'!$C$9)^'Tbond_010504'!F31)-'Tbond_010504'!$C$20</x:f>
        <x:v>93.77936232478937</x:v>
      </x:c>
      <x:c r="D45" s="53" t="n">
        <x:f>SUM('CDB_018020'!E27/(1+$B45/'CDB_018020'!$C$9)^'CDB_018020'!F27,'CDB_018020'!E28/(1+$B45/'CDB_018020'!$C$9)^'CDB_018020'!F28,'CDB_018020'!E29/(1+$B45/'CDB_018020'!$C$9)^'CDB_018020'!F29)-'CDB_018020'!$C$20</x:f>
        <x:v>87.91733560536035</x:v>
      </x:c>
      <x:c r="E45" s="53" t="n">
        <x:f>SUM('Nanjing_184575'!E27/(1+$B45/'Nanjing_184575'!$C$9)^'Nanjing_184575'!F27,'Nanjing_184575'!E28/(1+$B45/'Nanjing_184575'!$C$9)^'Nanjing_184575'!F28,'Nanjing_184575'!E29/(1+$B45/'Nanjing_184575'!$C$9)^'Nanjing_184575'!F29,'Nanjing_184575'!E30/(1+$B45/'Nanjing_184575'!$C$9)^'Nanjing_184575'!F30,'Nanjing_184575'!E31/(1+$B45/'Nanjing_184575'!$C$9)^'Nanjing_184575'!F31)-'Nanjing_184575'!$C$20</x:f>
        <x:v>83.07238627596753</x:v>
      </x:c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S45" s="46" t="str">
        <x:f>TEXT(B45,"0.00%")</x:f>
        <x:v>7.25%</x:v>
      </x:c>
    </x:row>
    <x:row r="46" ht="24" customHeight="1">
      <x:c r="A46" s="1"/>
      <x:c r="B46" s="52" t="n">
        <x:v>0.075</x:v>
      </x:c>
      <x:c r="C46" s="53" t="n">
        <x:f>SUM('Tbond_010504'!E27/(1+$B46/'Tbond_010504'!$C$9)^'Tbond_010504'!F27,'Tbond_010504'!E28/(1+$B46/'Tbond_010504'!$C$9)^'Tbond_010504'!F28,'Tbond_010504'!E29/(1+$B46/'Tbond_010504'!$C$9)^'Tbond_010504'!F29,'Tbond_010504'!E30/(1+$B46/'Tbond_010504'!$C$9)^'Tbond_010504'!F30,'Tbond_010504'!E31/(1+$B46/'Tbond_010504'!$C$9)^'Tbond_010504'!F31)-'Tbond_010504'!$C$20</x:f>
        <x:v>93.3056195445034</x:v>
      </x:c>
      <x:c r="D46" s="53" t="n">
        <x:f>SUM('CDB_018020'!E27/(1+$B46/'CDB_018020'!$C$9)^'CDB_018020'!F27,'CDB_018020'!E28/(1+$B46/'CDB_018020'!$C$9)^'CDB_018020'!F28,'CDB_018020'!E29/(1+$B46/'CDB_018020'!$C$9)^'CDB_018020'!F29)-'CDB_018020'!$C$20</x:f>
        <x:v>87.32784733656645</x:v>
      </x:c>
      <x:c r="E46" s="53" t="n">
        <x:f>SUM('Nanjing_184575'!E27/(1+$B46/'Nanjing_184575'!$C$9)^'Nanjing_184575'!F27,'Nanjing_184575'!E28/(1+$B46/'Nanjing_184575'!$C$9)^'Nanjing_184575'!F28,'Nanjing_184575'!E29/(1+$B46/'Nanjing_184575'!$C$9)^'Nanjing_184575'!F29,'Nanjing_184575'!E30/(1+$B46/'Nanjing_184575'!$C$9)^'Nanjing_184575'!F30,'Nanjing_184575'!E31/(1+$B46/'Nanjing_184575'!$C$9)^'Nanjing_184575'!F31)-'Nanjing_184575'!$C$20</x:f>
        <x:v>82.24797697165053</x:v>
      </x:c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S46" s="46" t="str">
        <x:f>TEXT(B46,"0.00%")</x:f>
        <x:v>7.50%</x:v>
      </x:c>
    </x:row>
    <x:row r="47" ht="24" customHeight="1">
      <x:c r="A47" s="1"/>
      <x:c r="B47" s="52" t="n">
        <x:v>0.0775</x:v>
      </x:c>
      <x:c r="C47" s="53" t="n">
        <x:f>SUM('Tbond_010504'!E27/(1+$B47/'Tbond_010504'!$C$9)^'Tbond_010504'!F27,'Tbond_010504'!E28/(1+$B47/'Tbond_010504'!$C$9)^'Tbond_010504'!F28,'Tbond_010504'!E29/(1+$B47/'Tbond_010504'!$C$9)^'Tbond_010504'!F29,'Tbond_010504'!E30/(1+$B47/'Tbond_010504'!$C$9)^'Tbond_010504'!F30,'Tbond_010504'!E31/(1+$B47/'Tbond_010504'!$C$9)^'Tbond_010504'!F31)-'Tbond_010504'!$C$20</x:f>
        <x:v>92.83488235495237</x:v>
      </x:c>
      <x:c r="D47" s="53" t="n">
        <x:f>SUM('CDB_018020'!E27/(1+$B47/'CDB_018020'!$C$9)^'CDB_018020'!F27,'CDB_018020'!E28/(1+$B47/'CDB_018020'!$C$9)^'CDB_018020'!F28,'CDB_018020'!E29/(1+$B47/'CDB_018020'!$C$9)^'CDB_018020'!F29)-'CDB_018020'!$C$20</x:f>
        <x:v>86.74372398190569</x:v>
      </x:c>
      <x:c r="E47" s="53" t="n">
        <x:f>SUM('Nanjing_184575'!E27/(1+$B47/'Nanjing_184575'!$C$9)^'Nanjing_184575'!F27,'Nanjing_184575'!E28/(1+$B47/'Nanjing_184575'!$C$9)^'Nanjing_184575'!F28,'Nanjing_184575'!E29/(1+$B47/'Nanjing_184575'!$C$9)^'Nanjing_184575'!F29,'Nanjing_184575'!E30/(1+$B47/'Nanjing_184575'!$C$9)^'Nanjing_184575'!F30,'Nanjing_184575'!E31/(1+$B47/'Nanjing_184575'!$C$9)^'Nanjing_184575'!F31)-'Nanjing_184575'!$C$20</x:f>
        <x:v>81.43386955468736</x:v>
      </x:c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S47" s="46" t="str">
        <x:f>TEXT(B47,"0.00%")</x:f>
        <x:v>7.75%</x:v>
      </x:c>
    </x:row>
    <x:row r="48" ht="24" customHeight="1">
      <x:c r="A48" s="1"/>
      <x:c r="B48" s="52" t="n">
        <x:v>0.08</x:v>
      </x:c>
      <x:c r="C48" s="53" t="n">
        <x:f>SUM('Tbond_010504'!E27/(1+$B48/'Tbond_010504'!$C$9)^'Tbond_010504'!F27,'Tbond_010504'!E28/(1+$B48/'Tbond_010504'!$C$9)^'Tbond_010504'!F28,'Tbond_010504'!E29/(1+$B48/'Tbond_010504'!$C$9)^'Tbond_010504'!F29,'Tbond_010504'!E30/(1+$B48/'Tbond_010504'!$C$9)^'Tbond_010504'!F30,'Tbond_010504'!E31/(1+$B48/'Tbond_010504'!$C$9)^'Tbond_010504'!F31)-'Tbond_010504'!$C$20</x:f>
        <x:v>92.36712800618899</x:v>
      </x:c>
      <x:c r="D48" s="53" t="n">
        <x:f>SUM('CDB_018020'!E27/(1+$B48/'CDB_018020'!$C$9)^'CDB_018020'!F27,'CDB_018020'!E28/(1+$B48/'CDB_018020'!$C$9)^'CDB_018020'!F28,'CDB_018020'!E29/(1+$B48/'CDB_018020'!$C$9)^'CDB_018020'!F29)-'CDB_018020'!$C$20</x:f>
        <x:v>86.16490427146468</x:v>
      </x:c>
      <x:c r="E48" s="53" t="n">
        <x:f>SUM('Nanjing_184575'!E27/(1+$B48/'Nanjing_184575'!$C$9)^'Nanjing_184575'!F27,'Nanjing_184575'!E28/(1+$B48/'Nanjing_184575'!$C$9)^'Nanjing_184575'!F28,'Nanjing_184575'!E29/(1+$B48/'Nanjing_184575'!$C$9)^'Nanjing_184575'!F29,'Nanjing_184575'!E30/(1+$B48/'Nanjing_184575'!$C$9)^'Nanjing_184575'!F30,'Nanjing_184575'!E31/(1+$B48/'Nanjing_184575'!$C$9)^'Nanjing_184575'!F31)-'Nanjing_184575'!$C$20</x:f>
        <x:v>80.62991083652341</x:v>
      </x:c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S48" s="46" t="str">
        <x:f>TEXT(B48,"0.00%")</x:f>
        <x:v>8.00%</x:v>
      </x:c>
    </x:row>
    <x:row r="49" ht="24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 ht="24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 ht="24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 ht="24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 ht="24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 ht="24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 ht="24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</x:sheetData>
  <x:mergeCells>
    <x:mergeCell ref="B10:E12"/>
    <x:mergeCell ref="G28:Q30"/>
    <x:mergeCell ref="G33:Q36"/>
    <x:mergeCell ref="G39:Q42"/>
  </x:mergeCells>
  <x:pageMargins left="0.7" right="0.7" top="0.75" bottom="0.75" header="0.3" footer="0.3"/>
  <x:drawing xmlns:r="http://schemas.openxmlformats.org/officeDocument/2006/relationships" r:id="Rdaaec59a6518408e"/>
</x:worksheet>
</file>